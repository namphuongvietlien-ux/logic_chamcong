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 (2)\Desktop\LÂM\check app K9\"/>
    </mc:Choice>
  </mc:AlternateContent>
  <xr:revisionPtr revIDLastSave="0" documentId="13_ncr:1_{9153DF2B-EBF5-4744-B506-F295B5864265}" xr6:coauthVersionLast="47" xr6:coauthVersionMax="47" xr10:uidLastSave="{00000000-0000-0000-0000-000000000000}"/>
  <bookViews>
    <workbookView xWindow="-120" yWindow="-120" windowWidth="29040" windowHeight="15720" firstSheet="13" activeTab="24" xr2:uid="{00000000-000D-0000-FFFF-FFFF00000000}"/>
  </bookViews>
  <sheets>
    <sheet name="31.08" sheetId="145" r:id="rId1"/>
    <sheet name="30.08" sheetId="144" r:id="rId2"/>
    <sheet name="29.08" sheetId="143" r:id="rId3"/>
    <sheet name="28.08" sheetId="142" r:id="rId4"/>
    <sheet name="27.08" sheetId="141" r:id="rId5"/>
    <sheet name="26.08" sheetId="140" r:id="rId6"/>
    <sheet name="25.08" sheetId="139" r:id="rId7"/>
    <sheet name="24.08" sheetId="138" r:id="rId8"/>
    <sheet name="23.08" sheetId="137" r:id="rId9"/>
    <sheet name="22.08" sheetId="136" r:id="rId10"/>
    <sheet name="21.08" sheetId="135" r:id="rId11"/>
    <sheet name="20.08" sheetId="134" r:id="rId12"/>
    <sheet name="19.08" sheetId="133" r:id="rId13"/>
    <sheet name="18.8" sheetId="132" r:id="rId14"/>
    <sheet name="17.08" sheetId="131" r:id="rId15"/>
    <sheet name="16.08" sheetId="130" r:id="rId16"/>
    <sheet name="15.08" sheetId="129" r:id="rId17"/>
    <sheet name="14.08" sheetId="128" r:id="rId18"/>
    <sheet name="13.08" sheetId="127" r:id="rId19"/>
    <sheet name="12.08" sheetId="126" r:id="rId20"/>
    <sheet name="11.08" sheetId="125" r:id="rId21"/>
    <sheet name="10.08" sheetId="123" r:id="rId22"/>
    <sheet name="09.08" sheetId="124" r:id="rId23"/>
    <sheet name="08.08" sheetId="122" r:id="rId24"/>
    <sheet name="07.08" sheetId="121" r:id="rId25"/>
    <sheet name="06.08" sheetId="120" r:id="rId26"/>
    <sheet name="05.08" sheetId="119" r:id="rId27"/>
    <sheet name="04.08" sheetId="118" r:id="rId28"/>
    <sheet name="03.08" sheetId="117" r:id="rId29"/>
    <sheet name="02.08" sheetId="116" r:id="rId30"/>
    <sheet name="01.08" sheetId="32" r:id="rId31"/>
    <sheet name="Sheet1" sheetId="115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0" i="145" l="1"/>
  <c r="K80" i="145" s="1"/>
  <c r="I80" i="145"/>
  <c r="J79" i="145"/>
  <c r="I79" i="145"/>
  <c r="K79" i="145" s="1"/>
  <c r="J78" i="145"/>
  <c r="I78" i="145"/>
  <c r="K78" i="145" s="1"/>
  <c r="K77" i="145"/>
  <c r="J77" i="145"/>
  <c r="I77" i="145"/>
  <c r="J76" i="145"/>
  <c r="K76" i="145" s="1"/>
  <c r="I76" i="145"/>
  <c r="K75" i="145"/>
  <c r="J75" i="145"/>
  <c r="I75" i="145"/>
  <c r="J74" i="145"/>
  <c r="I74" i="145"/>
  <c r="K74" i="145" s="1"/>
  <c r="J73" i="145"/>
  <c r="I73" i="145"/>
  <c r="K73" i="145" s="1"/>
  <c r="J72" i="145"/>
  <c r="K72" i="145" s="1"/>
  <c r="I72" i="145"/>
  <c r="J71" i="145"/>
  <c r="I71" i="145"/>
  <c r="K71" i="145" s="1"/>
  <c r="J70" i="145"/>
  <c r="I70" i="145"/>
  <c r="K70" i="145" s="1"/>
  <c r="K69" i="145"/>
  <c r="J69" i="145"/>
  <c r="I69" i="145"/>
  <c r="J68" i="145"/>
  <c r="K68" i="145" s="1"/>
  <c r="I68" i="145"/>
  <c r="K67" i="145"/>
  <c r="J67" i="145"/>
  <c r="I67" i="145"/>
  <c r="J66" i="145"/>
  <c r="I66" i="145"/>
  <c r="K66" i="145" s="1"/>
  <c r="J65" i="145"/>
  <c r="I65" i="145"/>
  <c r="K65" i="145" s="1"/>
  <c r="J64" i="145"/>
  <c r="K64" i="145" s="1"/>
  <c r="I64" i="145"/>
  <c r="J63" i="145"/>
  <c r="I63" i="145"/>
  <c r="K63" i="145" s="1"/>
  <c r="J62" i="145"/>
  <c r="I62" i="145"/>
  <c r="K62" i="145" s="1"/>
  <c r="K61" i="145"/>
  <c r="J61" i="145"/>
  <c r="I61" i="145"/>
  <c r="J60" i="145"/>
  <c r="K60" i="145" s="1"/>
  <c r="I60" i="145"/>
  <c r="K59" i="145"/>
  <c r="J59" i="145"/>
  <c r="I59" i="145"/>
  <c r="J58" i="145"/>
  <c r="I58" i="145"/>
  <c r="K58" i="145" s="1"/>
  <c r="J57" i="145"/>
  <c r="I57" i="145"/>
  <c r="K57" i="145" s="1"/>
  <c r="J56" i="145"/>
  <c r="K56" i="145" s="1"/>
  <c r="I56" i="145"/>
  <c r="J55" i="145"/>
  <c r="I55" i="145"/>
  <c r="K55" i="145" s="1"/>
  <c r="J54" i="145"/>
  <c r="I54" i="145"/>
  <c r="K54" i="145" s="1"/>
  <c r="K53" i="145"/>
  <c r="J53" i="145"/>
  <c r="I53" i="145"/>
  <c r="J52" i="145"/>
  <c r="K52" i="145" s="1"/>
  <c r="I52" i="145"/>
  <c r="K51" i="145"/>
  <c r="J51" i="145"/>
  <c r="I51" i="145"/>
  <c r="J50" i="145"/>
  <c r="I50" i="145"/>
  <c r="K50" i="145" s="1"/>
  <c r="J49" i="145"/>
  <c r="I49" i="145"/>
  <c r="K49" i="145" s="1"/>
  <c r="J48" i="145"/>
  <c r="K48" i="145" s="1"/>
  <c r="I48" i="145"/>
  <c r="J47" i="145"/>
  <c r="I47" i="145"/>
  <c r="K47" i="145" s="1"/>
  <c r="J46" i="145"/>
  <c r="I46" i="145"/>
  <c r="K46" i="145" s="1"/>
  <c r="K45" i="145"/>
  <c r="J45" i="145"/>
  <c r="I45" i="145"/>
  <c r="J44" i="145"/>
  <c r="K44" i="145" s="1"/>
  <c r="I44" i="145"/>
  <c r="J43" i="145"/>
  <c r="I43" i="145"/>
  <c r="J42" i="145"/>
  <c r="I42" i="145"/>
  <c r="K42" i="145" s="1"/>
  <c r="J41" i="145"/>
  <c r="I41" i="145"/>
  <c r="K41" i="145" s="1"/>
  <c r="J40" i="145"/>
  <c r="K40" i="145" s="1"/>
  <c r="I40" i="145"/>
  <c r="J39" i="145"/>
  <c r="I39" i="145"/>
  <c r="K39" i="145" s="1"/>
  <c r="J38" i="145"/>
  <c r="I38" i="145"/>
  <c r="K38" i="145" s="1"/>
  <c r="K37" i="145"/>
  <c r="J37" i="145"/>
  <c r="I37" i="145"/>
  <c r="J36" i="145"/>
  <c r="K36" i="145" s="1"/>
  <c r="I36" i="145"/>
  <c r="K35" i="145"/>
  <c r="J35" i="145"/>
  <c r="I35" i="145"/>
  <c r="J34" i="145"/>
  <c r="I34" i="145"/>
  <c r="K34" i="145" s="1"/>
  <c r="J33" i="145"/>
  <c r="I33" i="145"/>
  <c r="K33" i="145" s="1"/>
  <c r="J32" i="145"/>
  <c r="K32" i="145" s="1"/>
  <c r="I32" i="145"/>
  <c r="J31" i="145"/>
  <c r="I31" i="145"/>
  <c r="K31" i="145" s="1"/>
  <c r="J30" i="145"/>
  <c r="I30" i="145"/>
  <c r="K30" i="145" s="1"/>
  <c r="J29" i="145"/>
  <c r="I29" i="145"/>
  <c r="J28" i="145"/>
  <c r="K28" i="145" s="1"/>
  <c r="I28" i="145"/>
  <c r="J27" i="145"/>
  <c r="K27" i="145" s="1"/>
  <c r="I27" i="145"/>
  <c r="J26" i="145"/>
  <c r="I26" i="145"/>
  <c r="K26" i="145" s="1"/>
  <c r="J25" i="145"/>
  <c r="I25" i="145"/>
  <c r="K25" i="145" s="1"/>
  <c r="J24" i="145"/>
  <c r="K24" i="145" s="1"/>
  <c r="I24" i="145"/>
  <c r="J23" i="145"/>
  <c r="I23" i="145"/>
  <c r="K23" i="145" s="1"/>
  <c r="J22" i="145"/>
  <c r="I22" i="145"/>
  <c r="K22" i="145" s="1"/>
  <c r="K21" i="145"/>
  <c r="J21" i="145"/>
  <c r="I21" i="145"/>
  <c r="J20" i="145"/>
  <c r="K20" i="145" s="1"/>
  <c r="I20" i="145"/>
  <c r="K19" i="145"/>
  <c r="J19" i="145"/>
  <c r="I19" i="145"/>
  <c r="J18" i="145"/>
  <c r="I18" i="145"/>
  <c r="K18" i="145" s="1"/>
  <c r="J17" i="145"/>
  <c r="I17" i="145"/>
  <c r="K17" i="145" s="1"/>
  <c r="J16" i="145"/>
  <c r="K16" i="145" s="1"/>
  <c r="I16" i="145"/>
  <c r="J15" i="145"/>
  <c r="I15" i="145"/>
  <c r="K15" i="145" s="1"/>
  <c r="J14" i="145"/>
  <c r="I14" i="145"/>
  <c r="K14" i="145" s="1"/>
  <c r="K13" i="145"/>
  <c r="J13" i="145"/>
  <c r="I13" i="145"/>
  <c r="J12" i="145"/>
  <c r="K12" i="145" s="1"/>
  <c r="I12" i="145"/>
  <c r="K11" i="145"/>
  <c r="J11" i="145"/>
  <c r="I11" i="145"/>
  <c r="J10" i="145"/>
  <c r="I10" i="145"/>
  <c r="K10" i="145" s="1"/>
  <c r="J9" i="145"/>
  <c r="I9" i="145"/>
  <c r="K9" i="145" s="1"/>
  <c r="J8" i="145"/>
  <c r="K8" i="145" s="1"/>
  <c r="I8" i="145"/>
  <c r="J7" i="145"/>
  <c r="I7" i="145"/>
  <c r="K7" i="145" s="1"/>
  <c r="J6" i="145"/>
  <c r="I6" i="145"/>
  <c r="K6" i="145" s="1"/>
  <c r="K5" i="145"/>
  <c r="J5" i="145"/>
  <c r="I5" i="145"/>
  <c r="K80" i="144"/>
  <c r="J80" i="144"/>
  <c r="I80" i="144"/>
  <c r="J79" i="144"/>
  <c r="I79" i="144"/>
  <c r="K79" i="144" s="1"/>
  <c r="J78" i="144"/>
  <c r="I78" i="144"/>
  <c r="K78" i="144" s="1"/>
  <c r="J77" i="144"/>
  <c r="I77" i="144"/>
  <c r="K77" i="144" s="1"/>
  <c r="J76" i="144"/>
  <c r="K76" i="144" s="1"/>
  <c r="I76" i="144"/>
  <c r="K75" i="144"/>
  <c r="J75" i="144"/>
  <c r="I75" i="144"/>
  <c r="J74" i="144"/>
  <c r="K74" i="144" s="1"/>
  <c r="I74" i="144"/>
  <c r="J73" i="144"/>
  <c r="I73" i="144"/>
  <c r="K73" i="144" s="1"/>
  <c r="K72" i="144"/>
  <c r="J72" i="144"/>
  <c r="I72" i="144"/>
  <c r="J71" i="144"/>
  <c r="I71" i="144"/>
  <c r="K71" i="144" s="1"/>
  <c r="J70" i="144"/>
  <c r="I70" i="144"/>
  <c r="K70" i="144" s="1"/>
  <c r="J69" i="144"/>
  <c r="I69" i="144"/>
  <c r="K69" i="144" s="1"/>
  <c r="J68" i="144"/>
  <c r="K68" i="144" s="1"/>
  <c r="I68" i="144"/>
  <c r="K67" i="144"/>
  <c r="J67" i="144"/>
  <c r="I67" i="144"/>
  <c r="J66" i="144"/>
  <c r="K66" i="144" s="1"/>
  <c r="I66" i="144"/>
  <c r="J65" i="144"/>
  <c r="I65" i="144"/>
  <c r="K65" i="144" s="1"/>
  <c r="K64" i="144"/>
  <c r="J64" i="144"/>
  <c r="I64" i="144"/>
  <c r="J63" i="144"/>
  <c r="I63" i="144"/>
  <c r="K63" i="144" s="1"/>
  <c r="J62" i="144"/>
  <c r="I62" i="144"/>
  <c r="K62" i="144" s="1"/>
  <c r="J61" i="144"/>
  <c r="I61" i="144"/>
  <c r="K61" i="144" s="1"/>
  <c r="J60" i="144"/>
  <c r="I60" i="144"/>
  <c r="K59" i="144"/>
  <c r="J59" i="144"/>
  <c r="I59" i="144"/>
  <c r="J58" i="144"/>
  <c r="K58" i="144" s="1"/>
  <c r="I58" i="144"/>
  <c r="J57" i="144"/>
  <c r="I57" i="144"/>
  <c r="K57" i="144" s="1"/>
  <c r="K56" i="144"/>
  <c r="J56" i="144"/>
  <c r="I56" i="144"/>
  <c r="J55" i="144"/>
  <c r="I55" i="144"/>
  <c r="K55" i="144" s="1"/>
  <c r="J54" i="144"/>
  <c r="I54" i="144"/>
  <c r="K54" i="144" s="1"/>
  <c r="J53" i="144"/>
  <c r="I53" i="144"/>
  <c r="K53" i="144" s="1"/>
  <c r="J52" i="144"/>
  <c r="K52" i="144" s="1"/>
  <c r="I52" i="144"/>
  <c r="K51" i="144"/>
  <c r="J51" i="144"/>
  <c r="I51" i="144"/>
  <c r="J50" i="144"/>
  <c r="I50" i="144"/>
  <c r="K50" i="144" s="1"/>
  <c r="J49" i="144"/>
  <c r="I49" i="144"/>
  <c r="K49" i="144" s="1"/>
  <c r="K48" i="144"/>
  <c r="J48" i="144"/>
  <c r="I48" i="144"/>
  <c r="J47" i="144"/>
  <c r="I47" i="144"/>
  <c r="K47" i="144" s="1"/>
  <c r="J46" i="144"/>
  <c r="I46" i="144"/>
  <c r="K46" i="144" s="1"/>
  <c r="J45" i="144"/>
  <c r="I45" i="144"/>
  <c r="K45" i="144" s="1"/>
  <c r="J44" i="144"/>
  <c r="I44" i="144"/>
  <c r="K44" i="144" s="1"/>
  <c r="J43" i="144"/>
  <c r="I43" i="144"/>
  <c r="K43" i="144" s="1"/>
  <c r="J42" i="144"/>
  <c r="I42" i="144"/>
  <c r="K42" i="144" s="1"/>
  <c r="J41" i="144"/>
  <c r="I41" i="144"/>
  <c r="K41" i="144" s="1"/>
  <c r="K40" i="144"/>
  <c r="J40" i="144"/>
  <c r="I40" i="144"/>
  <c r="J39" i="144"/>
  <c r="I39" i="144"/>
  <c r="K39" i="144" s="1"/>
  <c r="J38" i="144"/>
  <c r="I38" i="144"/>
  <c r="K38" i="144" s="1"/>
  <c r="J37" i="144"/>
  <c r="I37" i="144"/>
  <c r="K37" i="144" s="1"/>
  <c r="J36" i="144"/>
  <c r="K36" i="144" s="1"/>
  <c r="I36" i="144"/>
  <c r="K35" i="144"/>
  <c r="J35" i="144"/>
  <c r="I35" i="144"/>
  <c r="J34" i="144"/>
  <c r="I34" i="144"/>
  <c r="K34" i="144" s="1"/>
  <c r="J33" i="144"/>
  <c r="I33" i="144"/>
  <c r="K33" i="144" s="1"/>
  <c r="K32" i="144"/>
  <c r="J32" i="144"/>
  <c r="I32" i="144"/>
  <c r="J31" i="144"/>
  <c r="I31" i="144"/>
  <c r="K31" i="144" s="1"/>
  <c r="J30" i="144"/>
  <c r="I30" i="144"/>
  <c r="K30" i="144" s="1"/>
  <c r="J29" i="144"/>
  <c r="I29" i="144"/>
  <c r="J28" i="144"/>
  <c r="I28" i="144"/>
  <c r="J27" i="144"/>
  <c r="I27" i="144"/>
  <c r="J26" i="144"/>
  <c r="I26" i="144"/>
  <c r="K26" i="144" s="1"/>
  <c r="J25" i="144"/>
  <c r="I25" i="144"/>
  <c r="K25" i="144" s="1"/>
  <c r="K24" i="144"/>
  <c r="J24" i="144"/>
  <c r="I24" i="144"/>
  <c r="J23" i="144"/>
  <c r="I23" i="144"/>
  <c r="K23" i="144" s="1"/>
  <c r="J22" i="144"/>
  <c r="I22" i="144"/>
  <c r="K22" i="144" s="1"/>
  <c r="J21" i="144"/>
  <c r="I21" i="144"/>
  <c r="K21" i="144" s="1"/>
  <c r="J20" i="144"/>
  <c r="K20" i="144" s="1"/>
  <c r="I20" i="144"/>
  <c r="K19" i="144"/>
  <c r="J19" i="144"/>
  <c r="I19" i="144"/>
  <c r="J18" i="144"/>
  <c r="I18" i="144"/>
  <c r="K18" i="144" s="1"/>
  <c r="J17" i="144"/>
  <c r="I17" i="144"/>
  <c r="K17" i="144" s="1"/>
  <c r="K16" i="144"/>
  <c r="J16" i="144"/>
  <c r="I16" i="144"/>
  <c r="J15" i="144"/>
  <c r="I15" i="144"/>
  <c r="K15" i="144" s="1"/>
  <c r="J14" i="144"/>
  <c r="I14" i="144"/>
  <c r="K14" i="144" s="1"/>
  <c r="J13" i="144"/>
  <c r="I13" i="144"/>
  <c r="K13" i="144" s="1"/>
  <c r="J12" i="144"/>
  <c r="K12" i="144" s="1"/>
  <c r="I12" i="144"/>
  <c r="K11" i="144"/>
  <c r="J11" i="144"/>
  <c r="I11" i="144"/>
  <c r="J10" i="144"/>
  <c r="I10" i="144"/>
  <c r="K10" i="144" s="1"/>
  <c r="J9" i="144"/>
  <c r="I9" i="144"/>
  <c r="K9" i="144" s="1"/>
  <c r="K8" i="144"/>
  <c r="J8" i="144"/>
  <c r="I8" i="144"/>
  <c r="J7" i="144"/>
  <c r="I7" i="144"/>
  <c r="K7" i="144" s="1"/>
  <c r="J6" i="144"/>
  <c r="I6" i="144"/>
  <c r="K6" i="144" s="1"/>
  <c r="J5" i="144"/>
  <c r="I5" i="144"/>
  <c r="K5" i="144" s="1"/>
  <c r="J80" i="143"/>
  <c r="I80" i="143"/>
  <c r="K80" i="143" s="1"/>
  <c r="J79" i="143"/>
  <c r="I79" i="143"/>
  <c r="K79" i="143" s="1"/>
  <c r="J78" i="143"/>
  <c r="I78" i="143"/>
  <c r="K78" i="143" s="1"/>
  <c r="J77" i="143"/>
  <c r="K77" i="143" s="1"/>
  <c r="I77" i="143"/>
  <c r="J76" i="143"/>
  <c r="K76" i="143" s="1"/>
  <c r="I76" i="143"/>
  <c r="K75" i="143"/>
  <c r="J75" i="143"/>
  <c r="I75" i="143"/>
  <c r="J74" i="143"/>
  <c r="I74" i="143"/>
  <c r="K74" i="143" s="1"/>
  <c r="J73" i="143"/>
  <c r="I73" i="143"/>
  <c r="K73" i="143" s="1"/>
  <c r="J72" i="143"/>
  <c r="I72" i="143"/>
  <c r="K72" i="143" s="1"/>
  <c r="J71" i="143"/>
  <c r="I71" i="143"/>
  <c r="K71" i="143" s="1"/>
  <c r="J70" i="143"/>
  <c r="I70" i="143"/>
  <c r="K70" i="143" s="1"/>
  <c r="J69" i="143"/>
  <c r="I69" i="143"/>
  <c r="K69" i="143" s="1"/>
  <c r="J68" i="143"/>
  <c r="K68" i="143" s="1"/>
  <c r="I68" i="143"/>
  <c r="K67" i="143"/>
  <c r="J67" i="143"/>
  <c r="I67" i="143"/>
  <c r="J66" i="143"/>
  <c r="I66" i="143"/>
  <c r="K66" i="143" s="1"/>
  <c r="J65" i="143"/>
  <c r="I65" i="143"/>
  <c r="K65" i="143" s="1"/>
  <c r="J64" i="143"/>
  <c r="I64" i="143"/>
  <c r="K64" i="143" s="1"/>
  <c r="J63" i="143"/>
  <c r="I63" i="143"/>
  <c r="K63" i="143" s="1"/>
  <c r="J62" i="143"/>
  <c r="I62" i="143"/>
  <c r="K62" i="143" s="1"/>
  <c r="J61" i="143"/>
  <c r="K61" i="143" s="1"/>
  <c r="I61" i="143"/>
  <c r="J60" i="143"/>
  <c r="K60" i="143" s="1"/>
  <c r="I60" i="143"/>
  <c r="K59" i="143"/>
  <c r="J59" i="143"/>
  <c r="I59" i="143"/>
  <c r="J58" i="143"/>
  <c r="I58" i="143"/>
  <c r="K58" i="143" s="1"/>
  <c r="J57" i="143"/>
  <c r="I57" i="143"/>
  <c r="K57" i="143" s="1"/>
  <c r="J56" i="143"/>
  <c r="I56" i="143"/>
  <c r="K56" i="143" s="1"/>
  <c r="J55" i="143"/>
  <c r="I55" i="143"/>
  <c r="K55" i="143" s="1"/>
  <c r="J54" i="143"/>
  <c r="I54" i="143"/>
  <c r="K54" i="143" s="1"/>
  <c r="J53" i="143"/>
  <c r="I53" i="143"/>
  <c r="K53" i="143" s="1"/>
  <c r="J52" i="143"/>
  <c r="K52" i="143" s="1"/>
  <c r="I52" i="143"/>
  <c r="K51" i="143"/>
  <c r="J51" i="143"/>
  <c r="I51" i="143"/>
  <c r="J50" i="143"/>
  <c r="I50" i="143"/>
  <c r="K50" i="143" s="1"/>
  <c r="J49" i="143"/>
  <c r="I49" i="143"/>
  <c r="K49" i="143" s="1"/>
  <c r="J48" i="143"/>
  <c r="I48" i="143"/>
  <c r="K48" i="143" s="1"/>
  <c r="J47" i="143"/>
  <c r="I47" i="143"/>
  <c r="K47" i="143" s="1"/>
  <c r="J46" i="143"/>
  <c r="I46" i="143"/>
  <c r="K46" i="143" s="1"/>
  <c r="J45" i="143"/>
  <c r="I45" i="143"/>
  <c r="K45" i="143" s="1"/>
  <c r="J44" i="143"/>
  <c r="K44" i="143" s="1"/>
  <c r="I44" i="143"/>
  <c r="J43" i="143"/>
  <c r="I43" i="143"/>
  <c r="J42" i="143"/>
  <c r="I42" i="143"/>
  <c r="K42" i="143" s="1"/>
  <c r="J41" i="143"/>
  <c r="I41" i="143"/>
  <c r="K41" i="143" s="1"/>
  <c r="J40" i="143"/>
  <c r="I40" i="143"/>
  <c r="K40" i="143" s="1"/>
  <c r="J39" i="143"/>
  <c r="I39" i="143"/>
  <c r="K39" i="143" s="1"/>
  <c r="J38" i="143"/>
  <c r="I38" i="143"/>
  <c r="K38" i="143" s="1"/>
  <c r="J37" i="143"/>
  <c r="I37" i="143"/>
  <c r="K37" i="143" s="1"/>
  <c r="J36" i="143"/>
  <c r="K36" i="143" s="1"/>
  <c r="I36" i="143"/>
  <c r="K35" i="143"/>
  <c r="J35" i="143"/>
  <c r="I35" i="143"/>
  <c r="J34" i="143"/>
  <c r="I34" i="143"/>
  <c r="K34" i="143" s="1"/>
  <c r="J33" i="143"/>
  <c r="I33" i="143"/>
  <c r="K33" i="143" s="1"/>
  <c r="J32" i="143"/>
  <c r="I32" i="143"/>
  <c r="K32" i="143" s="1"/>
  <c r="J31" i="143"/>
  <c r="I31" i="143"/>
  <c r="K31" i="143" s="1"/>
  <c r="J30" i="143"/>
  <c r="I30" i="143"/>
  <c r="K30" i="143" s="1"/>
  <c r="J29" i="143"/>
  <c r="I29" i="143"/>
  <c r="J28" i="143"/>
  <c r="I28" i="143"/>
  <c r="K28" i="143" s="1"/>
  <c r="J27" i="143"/>
  <c r="I27" i="143"/>
  <c r="K27" i="143" s="1"/>
  <c r="J26" i="143"/>
  <c r="I26" i="143"/>
  <c r="K26" i="143" s="1"/>
  <c r="J25" i="143"/>
  <c r="I25" i="143"/>
  <c r="K25" i="143" s="1"/>
  <c r="J24" i="143"/>
  <c r="I24" i="143"/>
  <c r="K24" i="143" s="1"/>
  <c r="J23" i="143"/>
  <c r="I23" i="143"/>
  <c r="K23" i="143" s="1"/>
  <c r="J22" i="143"/>
  <c r="K22" i="143" s="1"/>
  <c r="I22" i="143"/>
  <c r="J21" i="143"/>
  <c r="I21" i="143"/>
  <c r="K21" i="143" s="1"/>
  <c r="J20" i="143"/>
  <c r="I20" i="143"/>
  <c r="K20" i="143" s="1"/>
  <c r="K19" i="143"/>
  <c r="J19" i="143"/>
  <c r="I19" i="143"/>
  <c r="J18" i="143"/>
  <c r="I18" i="143"/>
  <c r="K18" i="143" s="1"/>
  <c r="J17" i="143"/>
  <c r="I17" i="143"/>
  <c r="K17" i="143" s="1"/>
  <c r="J16" i="143"/>
  <c r="I16" i="143"/>
  <c r="K16" i="143" s="1"/>
  <c r="J15" i="143"/>
  <c r="I15" i="143"/>
  <c r="K15" i="143" s="1"/>
  <c r="J14" i="143"/>
  <c r="I14" i="143"/>
  <c r="K14" i="143" s="1"/>
  <c r="J13" i="143"/>
  <c r="I13" i="143"/>
  <c r="K13" i="143" s="1"/>
  <c r="J12" i="143"/>
  <c r="I12" i="143"/>
  <c r="K12" i="143" s="1"/>
  <c r="K11" i="143"/>
  <c r="J11" i="143"/>
  <c r="I11" i="143"/>
  <c r="J10" i="143"/>
  <c r="I10" i="143"/>
  <c r="K10" i="143" s="1"/>
  <c r="J9" i="143"/>
  <c r="I9" i="143"/>
  <c r="K9" i="143" s="1"/>
  <c r="J8" i="143"/>
  <c r="I8" i="143"/>
  <c r="K8" i="143" s="1"/>
  <c r="J7" i="143"/>
  <c r="I7" i="143"/>
  <c r="K7" i="143" s="1"/>
  <c r="J6" i="143"/>
  <c r="I6" i="143"/>
  <c r="K6" i="143" s="1"/>
  <c r="J5" i="143"/>
  <c r="I5" i="143"/>
  <c r="K5" i="143" s="1"/>
  <c r="J80" i="142"/>
  <c r="I80" i="142"/>
  <c r="K80" i="142" s="1"/>
  <c r="J79" i="142"/>
  <c r="I79" i="142"/>
  <c r="K79" i="142" s="1"/>
  <c r="J78" i="142"/>
  <c r="K78" i="142" s="1"/>
  <c r="I78" i="142"/>
  <c r="J77" i="142"/>
  <c r="I77" i="142"/>
  <c r="K77" i="142" s="1"/>
  <c r="J76" i="142"/>
  <c r="I76" i="142"/>
  <c r="K76" i="142" s="1"/>
  <c r="K75" i="142"/>
  <c r="J75" i="142"/>
  <c r="I75" i="142"/>
  <c r="J74" i="142"/>
  <c r="K74" i="142" s="1"/>
  <c r="I74" i="142"/>
  <c r="J73" i="142"/>
  <c r="I73" i="142"/>
  <c r="K73" i="142" s="1"/>
  <c r="J72" i="142"/>
  <c r="I72" i="142"/>
  <c r="K72" i="142" s="1"/>
  <c r="J71" i="142"/>
  <c r="I71" i="142"/>
  <c r="K71" i="142" s="1"/>
  <c r="J70" i="142"/>
  <c r="K70" i="142" s="1"/>
  <c r="I70" i="142"/>
  <c r="J69" i="142"/>
  <c r="I69" i="142"/>
  <c r="K69" i="142" s="1"/>
  <c r="J68" i="142"/>
  <c r="I68" i="142"/>
  <c r="K68" i="142" s="1"/>
  <c r="K67" i="142"/>
  <c r="J67" i="142"/>
  <c r="I67" i="142"/>
  <c r="J66" i="142"/>
  <c r="K66" i="142" s="1"/>
  <c r="I66" i="142"/>
  <c r="J65" i="142"/>
  <c r="I65" i="142"/>
  <c r="K65" i="142" s="1"/>
  <c r="J64" i="142"/>
  <c r="I64" i="142"/>
  <c r="K64" i="142" s="1"/>
  <c r="J63" i="142"/>
  <c r="K63" i="142" s="1"/>
  <c r="I63" i="142"/>
  <c r="J62" i="142"/>
  <c r="K62" i="142" s="1"/>
  <c r="I62" i="142"/>
  <c r="J61" i="142"/>
  <c r="I61" i="142"/>
  <c r="K61" i="142" s="1"/>
  <c r="J60" i="142"/>
  <c r="I60" i="142"/>
  <c r="K59" i="142"/>
  <c r="J59" i="142"/>
  <c r="I59" i="142"/>
  <c r="J58" i="142"/>
  <c r="K58" i="142" s="1"/>
  <c r="I58" i="142"/>
  <c r="J57" i="142"/>
  <c r="I57" i="142"/>
  <c r="K57" i="142" s="1"/>
  <c r="J56" i="142"/>
  <c r="I56" i="142"/>
  <c r="K56" i="142" s="1"/>
  <c r="J55" i="142"/>
  <c r="I55" i="142"/>
  <c r="K55" i="142" s="1"/>
  <c r="J54" i="142"/>
  <c r="K54" i="142" s="1"/>
  <c r="I54" i="142"/>
  <c r="J53" i="142"/>
  <c r="I53" i="142"/>
  <c r="K53" i="142" s="1"/>
  <c r="J52" i="142"/>
  <c r="I52" i="142"/>
  <c r="K52" i="142" s="1"/>
  <c r="K51" i="142"/>
  <c r="J51" i="142"/>
  <c r="I51" i="142"/>
  <c r="J50" i="142"/>
  <c r="I50" i="142"/>
  <c r="K50" i="142" s="1"/>
  <c r="J49" i="142"/>
  <c r="I49" i="142"/>
  <c r="K49" i="142" s="1"/>
  <c r="J48" i="142"/>
  <c r="I48" i="142"/>
  <c r="K48" i="142" s="1"/>
  <c r="J47" i="142"/>
  <c r="I47" i="142"/>
  <c r="K47" i="142" s="1"/>
  <c r="J46" i="142"/>
  <c r="K46" i="142" s="1"/>
  <c r="I46" i="142"/>
  <c r="J45" i="142"/>
  <c r="I45" i="142"/>
  <c r="K45" i="142" s="1"/>
  <c r="J44" i="142"/>
  <c r="I44" i="142"/>
  <c r="K44" i="142" s="1"/>
  <c r="J43" i="142"/>
  <c r="I43" i="142"/>
  <c r="K43" i="142" s="1"/>
  <c r="J42" i="142"/>
  <c r="I42" i="142"/>
  <c r="K42" i="142" s="1"/>
  <c r="J41" i="142"/>
  <c r="I41" i="142"/>
  <c r="K41" i="142" s="1"/>
  <c r="J40" i="142"/>
  <c r="I40" i="142"/>
  <c r="K40" i="142" s="1"/>
  <c r="J39" i="142"/>
  <c r="I39" i="142"/>
  <c r="K39" i="142" s="1"/>
  <c r="J38" i="142"/>
  <c r="K38" i="142" s="1"/>
  <c r="I38" i="142"/>
  <c r="J37" i="142"/>
  <c r="I37" i="142"/>
  <c r="K37" i="142" s="1"/>
  <c r="J36" i="142"/>
  <c r="I36" i="142"/>
  <c r="K36" i="142" s="1"/>
  <c r="K35" i="142"/>
  <c r="J35" i="142"/>
  <c r="I35" i="142"/>
  <c r="J34" i="142"/>
  <c r="I34" i="142"/>
  <c r="K34" i="142" s="1"/>
  <c r="J33" i="142"/>
  <c r="I33" i="142"/>
  <c r="K33" i="142" s="1"/>
  <c r="J32" i="142"/>
  <c r="I32" i="142"/>
  <c r="K32" i="142" s="1"/>
  <c r="K31" i="142"/>
  <c r="J31" i="142"/>
  <c r="I31" i="142"/>
  <c r="J30" i="142"/>
  <c r="K30" i="142" s="1"/>
  <c r="I30" i="142"/>
  <c r="J29" i="142"/>
  <c r="I29" i="142"/>
  <c r="J28" i="142"/>
  <c r="I28" i="142"/>
  <c r="K28" i="142" s="1"/>
  <c r="J27" i="142"/>
  <c r="I27" i="142"/>
  <c r="J26" i="142"/>
  <c r="I26" i="142"/>
  <c r="K26" i="142" s="1"/>
  <c r="J25" i="142"/>
  <c r="I25" i="142"/>
  <c r="K25" i="142" s="1"/>
  <c r="J24" i="142"/>
  <c r="K24" i="142" s="1"/>
  <c r="I24" i="142"/>
  <c r="K23" i="142"/>
  <c r="J23" i="142"/>
  <c r="I23" i="142"/>
  <c r="J22" i="142"/>
  <c r="K22" i="142" s="1"/>
  <c r="I22" i="142"/>
  <c r="J21" i="142"/>
  <c r="I21" i="142"/>
  <c r="K21" i="142" s="1"/>
  <c r="J20" i="142"/>
  <c r="I20" i="142"/>
  <c r="K20" i="142" s="1"/>
  <c r="K19" i="142"/>
  <c r="J19" i="142"/>
  <c r="I19" i="142"/>
  <c r="J18" i="142"/>
  <c r="K18" i="142" s="1"/>
  <c r="I18" i="142"/>
  <c r="J17" i="142"/>
  <c r="I17" i="142"/>
  <c r="K17" i="142" s="1"/>
  <c r="J16" i="142"/>
  <c r="I16" i="142"/>
  <c r="K16" i="142" s="1"/>
  <c r="K15" i="142"/>
  <c r="J15" i="142"/>
  <c r="I15" i="142"/>
  <c r="J14" i="142"/>
  <c r="K14" i="142" s="1"/>
  <c r="I14" i="142"/>
  <c r="J13" i="142"/>
  <c r="I13" i="142"/>
  <c r="K13" i="142" s="1"/>
  <c r="J12" i="142"/>
  <c r="I12" i="142"/>
  <c r="K12" i="142" s="1"/>
  <c r="K11" i="142"/>
  <c r="J11" i="142"/>
  <c r="I11" i="142"/>
  <c r="J10" i="142"/>
  <c r="I10" i="142"/>
  <c r="K10" i="142" s="1"/>
  <c r="J9" i="142"/>
  <c r="I9" i="142"/>
  <c r="K9" i="142" s="1"/>
  <c r="J8" i="142"/>
  <c r="I8" i="142"/>
  <c r="K8" i="142" s="1"/>
  <c r="K7" i="142"/>
  <c r="J7" i="142"/>
  <c r="I7" i="142"/>
  <c r="J6" i="142"/>
  <c r="K6" i="142" s="1"/>
  <c r="I6" i="142"/>
  <c r="J5" i="142"/>
  <c r="I5" i="142"/>
  <c r="K5" i="142" s="1"/>
  <c r="J80" i="141"/>
  <c r="I80" i="141"/>
  <c r="K80" i="141" s="1"/>
  <c r="J79" i="141"/>
  <c r="I79" i="141"/>
  <c r="K79" i="141" s="1"/>
  <c r="J78" i="141"/>
  <c r="I78" i="141"/>
  <c r="K78" i="141" s="1"/>
  <c r="J77" i="141"/>
  <c r="K77" i="141" s="1"/>
  <c r="I77" i="141"/>
  <c r="K76" i="141"/>
  <c r="J76" i="141"/>
  <c r="I76" i="141"/>
  <c r="K75" i="141"/>
  <c r="J75" i="141"/>
  <c r="I75" i="141"/>
  <c r="K74" i="141"/>
  <c r="J74" i="141"/>
  <c r="I74" i="141"/>
  <c r="J73" i="141"/>
  <c r="I73" i="141"/>
  <c r="K73" i="141" s="1"/>
  <c r="J72" i="141"/>
  <c r="I72" i="141"/>
  <c r="K72" i="141" s="1"/>
  <c r="J71" i="141"/>
  <c r="I71" i="141"/>
  <c r="K71" i="141" s="1"/>
  <c r="J70" i="141"/>
  <c r="I70" i="141"/>
  <c r="K70" i="141" s="1"/>
  <c r="J69" i="141"/>
  <c r="K69" i="141" s="1"/>
  <c r="I69" i="141"/>
  <c r="K68" i="141"/>
  <c r="J68" i="141"/>
  <c r="I68" i="141"/>
  <c r="K67" i="141"/>
  <c r="J67" i="141"/>
  <c r="I67" i="141"/>
  <c r="K66" i="141"/>
  <c r="J66" i="141"/>
  <c r="I66" i="141"/>
  <c r="J65" i="141"/>
  <c r="I65" i="141"/>
  <c r="K65" i="141" s="1"/>
  <c r="J64" i="141"/>
  <c r="I64" i="141"/>
  <c r="K64" i="141" s="1"/>
  <c r="J63" i="141"/>
  <c r="I63" i="141"/>
  <c r="K63" i="141" s="1"/>
  <c r="J62" i="141"/>
  <c r="I62" i="141"/>
  <c r="K62" i="141" s="1"/>
  <c r="J61" i="141"/>
  <c r="K61" i="141" s="1"/>
  <c r="I61" i="141"/>
  <c r="J60" i="141"/>
  <c r="I60" i="141"/>
  <c r="K60" i="141" s="1"/>
  <c r="K59" i="141"/>
  <c r="J59" i="141"/>
  <c r="I59" i="141"/>
  <c r="K58" i="141"/>
  <c r="J58" i="141"/>
  <c r="I58" i="141"/>
  <c r="J57" i="141"/>
  <c r="I57" i="141"/>
  <c r="K57" i="141" s="1"/>
  <c r="J56" i="141"/>
  <c r="I56" i="141"/>
  <c r="K56" i="141" s="1"/>
  <c r="J55" i="141"/>
  <c r="I55" i="141"/>
  <c r="K55" i="141" s="1"/>
  <c r="J54" i="141"/>
  <c r="I54" i="141"/>
  <c r="K54" i="141" s="1"/>
  <c r="J53" i="141"/>
  <c r="K53" i="141" s="1"/>
  <c r="I53" i="141"/>
  <c r="K52" i="141"/>
  <c r="J52" i="141"/>
  <c r="I52" i="141"/>
  <c r="K51" i="141"/>
  <c r="J51" i="141"/>
  <c r="I51" i="141"/>
  <c r="K50" i="141"/>
  <c r="J50" i="141"/>
  <c r="I50" i="141"/>
  <c r="J49" i="141"/>
  <c r="I49" i="141"/>
  <c r="K49" i="141" s="1"/>
  <c r="J48" i="141"/>
  <c r="I48" i="141"/>
  <c r="K48" i="141" s="1"/>
  <c r="J47" i="141"/>
  <c r="I47" i="141"/>
  <c r="K47" i="141" s="1"/>
  <c r="J46" i="141"/>
  <c r="I46" i="141"/>
  <c r="K46" i="141" s="1"/>
  <c r="J45" i="141"/>
  <c r="K45" i="141" s="1"/>
  <c r="I45" i="141"/>
  <c r="K44" i="141"/>
  <c r="J44" i="141"/>
  <c r="I44" i="141"/>
  <c r="J43" i="141"/>
  <c r="I43" i="141"/>
  <c r="K42" i="141"/>
  <c r="J42" i="141"/>
  <c r="I42" i="141"/>
  <c r="J41" i="141"/>
  <c r="I41" i="141"/>
  <c r="K41" i="141" s="1"/>
  <c r="J40" i="141"/>
  <c r="I40" i="141"/>
  <c r="K40" i="141" s="1"/>
  <c r="J39" i="141"/>
  <c r="I39" i="141"/>
  <c r="K39" i="141" s="1"/>
  <c r="J38" i="141"/>
  <c r="I38" i="141"/>
  <c r="K38" i="141" s="1"/>
  <c r="J37" i="141"/>
  <c r="K37" i="141" s="1"/>
  <c r="I37" i="141"/>
  <c r="K36" i="141"/>
  <c r="J36" i="141"/>
  <c r="I36" i="141"/>
  <c r="K35" i="141"/>
  <c r="J35" i="141"/>
  <c r="I35" i="141"/>
  <c r="K34" i="141"/>
  <c r="J34" i="141"/>
  <c r="I34" i="141"/>
  <c r="J33" i="141"/>
  <c r="I33" i="141"/>
  <c r="K33" i="141" s="1"/>
  <c r="J32" i="141"/>
  <c r="I32" i="141"/>
  <c r="K32" i="141" s="1"/>
  <c r="J31" i="141"/>
  <c r="I31" i="141"/>
  <c r="K31" i="141" s="1"/>
  <c r="J30" i="141"/>
  <c r="I30" i="141"/>
  <c r="K30" i="141" s="1"/>
  <c r="J29" i="141"/>
  <c r="K29" i="141" s="1"/>
  <c r="I29" i="141"/>
  <c r="K28" i="141"/>
  <c r="J28" i="141"/>
  <c r="I28" i="141"/>
  <c r="J27" i="141"/>
  <c r="I27" i="141"/>
  <c r="K26" i="141"/>
  <c r="J26" i="141"/>
  <c r="I26" i="141"/>
  <c r="J25" i="141"/>
  <c r="I25" i="141"/>
  <c r="K25" i="141" s="1"/>
  <c r="J24" i="141"/>
  <c r="I24" i="141"/>
  <c r="K24" i="141" s="1"/>
  <c r="J23" i="141"/>
  <c r="I23" i="141"/>
  <c r="K23" i="141" s="1"/>
  <c r="J22" i="141"/>
  <c r="I22" i="141"/>
  <c r="K22" i="141" s="1"/>
  <c r="J21" i="141"/>
  <c r="K21" i="141" s="1"/>
  <c r="I21" i="141"/>
  <c r="K20" i="141"/>
  <c r="J20" i="141"/>
  <c r="I20" i="141"/>
  <c r="K19" i="141"/>
  <c r="J19" i="141"/>
  <c r="I19" i="141"/>
  <c r="K18" i="141"/>
  <c r="J18" i="141"/>
  <c r="I18" i="141"/>
  <c r="J17" i="141"/>
  <c r="I17" i="141"/>
  <c r="K17" i="141" s="1"/>
  <c r="J16" i="141"/>
  <c r="I16" i="141"/>
  <c r="K16" i="141" s="1"/>
  <c r="J15" i="141"/>
  <c r="I15" i="141"/>
  <c r="K15" i="141" s="1"/>
  <c r="J14" i="141"/>
  <c r="I14" i="141"/>
  <c r="K14" i="141" s="1"/>
  <c r="J13" i="141"/>
  <c r="K13" i="141" s="1"/>
  <c r="I13" i="141"/>
  <c r="K12" i="141"/>
  <c r="J12" i="141"/>
  <c r="I12" i="141"/>
  <c r="K11" i="141"/>
  <c r="J11" i="141"/>
  <c r="I11" i="141"/>
  <c r="K10" i="141"/>
  <c r="J10" i="141"/>
  <c r="I10" i="141"/>
  <c r="J9" i="141"/>
  <c r="I9" i="141"/>
  <c r="K9" i="141" s="1"/>
  <c r="J8" i="141"/>
  <c r="I8" i="141"/>
  <c r="K8" i="141" s="1"/>
  <c r="J7" i="141"/>
  <c r="I7" i="141"/>
  <c r="K7" i="141" s="1"/>
  <c r="J6" i="141"/>
  <c r="I6" i="141"/>
  <c r="K6" i="141" s="1"/>
  <c r="J5" i="141"/>
  <c r="K5" i="141" s="1"/>
  <c r="I5" i="141"/>
  <c r="J80" i="140"/>
  <c r="I80" i="140"/>
  <c r="K80" i="140" s="1"/>
  <c r="J79" i="140"/>
  <c r="I79" i="140"/>
  <c r="K79" i="140" s="1"/>
  <c r="J78" i="140"/>
  <c r="I78" i="140"/>
  <c r="K78" i="140" s="1"/>
  <c r="J77" i="140"/>
  <c r="K77" i="140" s="1"/>
  <c r="I77" i="140"/>
  <c r="J76" i="140"/>
  <c r="K76" i="140" s="1"/>
  <c r="I76" i="140"/>
  <c r="J75" i="140"/>
  <c r="I75" i="140"/>
  <c r="K75" i="140" s="1"/>
  <c r="K74" i="140"/>
  <c r="J74" i="140"/>
  <c r="I74" i="140"/>
  <c r="J73" i="140"/>
  <c r="I73" i="140"/>
  <c r="K73" i="140" s="1"/>
  <c r="J72" i="140"/>
  <c r="I72" i="140"/>
  <c r="K72" i="140" s="1"/>
  <c r="J71" i="140"/>
  <c r="I71" i="140"/>
  <c r="K71" i="140" s="1"/>
  <c r="J70" i="140"/>
  <c r="I70" i="140"/>
  <c r="K70" i="140" s="1"/>
  <c r="J69" i="140"/>
  <c r="K69" i="140" s="1"/>
  <c r="I69" i="140"/>
  <c r="J68" i="140"/>
  <c r="K68" i="140" s="1"/>
  <c r="I68" i="140"/>
  <c r="J67" i="140"/>
  <c r="I67" i="140"/>
  <c r="K67" i="140" s="1"/>
  <c r="K66" i="140"/>
  <c r="J66" i="140"/>
  <c r="I66" i="140"/>
  <c r="J65" i="140"/>
  <c r="I65" i="140"/>
  <c r="K65" i="140" s="1"/>
  <c r="J64" i="140"/>
  <c r="I64" i="140"/>
  <c r="K64" i="140" s="1"/>
  <c r="J63" i="140"/>
  <c r="I63" i="140"/>
  <c r="K63" i="140" s="1"/>
  <c r="J62" i="140"/>
  <c r="I62" i="140"/>
  <c r="K62" i="140" s="1"/>
  <c r="J61" i="140"/>
  <c r="I61" i="140"/>
  <c r="K61" i="140" s="1"/>
  <c r="J60" i="140"/>
  <c r="K60" i="140" s="1"/>
  <c r="I60" i="140"/>
  <c r="J59" i="140"/>
  <c r="I59" i="140"/>
  <c r="K59" i="140" s="1"/>
  <c r="K58" i="140"/>
  <c r="J58" i="140"/>
  <c r="I58" i="140"/>
  <c r="J57" i="140"/>
  <c r="I57" i="140"/>
  <c r="K57" i="140" s="1"/>
  <c r="J56" i="140"/>
  <c r="I56" i="140"/>
  <c r="K56" i="140" s="1"/>
  <c r="J55" i="140"/>
  <c r="I55" i="140"/>
  <c r="K55" i="140" s="1"/>
  <c r="J54" i="140"/>
  <c r="I54" i="140"/>
  <c r="K54" i="140" s="1"/>
  <c r="J53" i="140"/>
  <c r="I53" i="140"/>
  <c r="K53" i="140" s="1"/>
  <c r="J52" i="140"/>
  <c r="K52" i="140" s="1"/>
  <c r="I52" i="140"/>
  <c r="J51" i="140"/>
  <c r="I51" i="140"/>
  <c r="K51" i="140" s="1"/>
  <c r="K50" i="140"/>
  <c r="J50" i="140"/>
  <c r="I50" i="140"/>
  <c r="J49" i="140"/>
  <c r="I49" i="140"/>
  <c r="K49" i="140" s="1"/>
  <c r="J48" i="140"/>
  <c r="I48" i="140"/>
  <c r="K48" i="140" s="1"/>
  <c r="J47" i="140"/>
  <c r="I47" i="140"/>
  <c r="K47" i="140" s="1"/>
  <c r="J46" i="140"/>
  <c r="I46" i="140"/>
  <c r="K46" i="140" s="1"/>
  <c r="J45" i="140"/>
  <c r="K45" i="140" s="1"/>
  <c r="I45" i="140"/>
  <c r="J44" i="140"/>
  <c r="I44" i="140"/>
  <c r="K44" i="140" s="1"/>
  <c r="J43" i="140"/>
  <c r="I43" i="140"/>
  <c r="K42" i="140"/>
  <c r="J42" i="140"/>
  <c r="I42" i="140"/>
  <c r="J41" i="140"/>
  <c r="I41" i="140"/>
  <c r="K41" i="140" s="1"/>
  <c r="J40" i="140"/>
  <c r="I40" i="140"/>
  <c r="K40" i="140" s="1"/>
  <c r="J39" i="140"/>
  <c r="I39" i="140"/>
  <c r="K39" i="140" s="1"/>
  <c r="J38" i="140"/>
  <c r="I38" i="140"/>
  <c r="K38" i="140" s="1"/>
  <c r="J37" i="140"/>
  <c r="K37" i="140" s="1"/>
  <c r="I37" i="140"/>
  <c r="J36" i="140"/>
  <c r="I36" i="140"/>
  <c r="K36" i="140" s="1"/>
  <c r="J35" i="140"/>
  <c r="I35" i="140"/>
  <c r="K35" i="140" s="1"/>
  <c r="K34" i="140"/>
  <c r="J34" i="140"/>
  <c r="I34" i="140"/>
  <c r="J33" i="140"/>
  <c r="I33" i="140"/>
  <c r="K33" i="140" s="1"/>
  <c r="J32" i="140"/>
  <c r="I32" i="140"/>
  <c r="K32" i="140" s="1"/>
  <c r="J31" i="140"/>
  <c r="I31" i="140"/>
  <c r="K31" i="140" s="1"/>
  <c r="J30" i="140"/>
  <c r="I30" i="140"/>
  <c r="K30" i="140" s="1"/>
  <c r="J29" i="140"/>
  <c r="K29" i="140" s="1"/>
  <c r="I29" i="140"/>
  <c r="J28" i="140"/>
  <c r="I28" i="140"/>
  <c r="J27" i="140"/>
  <c r="I27" i="140"/>
  <c r="K27" i="140" s="1"/>
  <c r="K26" i="140"/>
  <c r="J26" i="140"/>
  <c r="I26" i="140"/>
  <c r="J25" i="140"/>
  <c r="I25" i="140"/>
  <c r="K25" i="140" s="1"/>
  <c r="J24" i="140"/>
  <c r="I24" i="140"/>
  <c r="K24" i="140" s="1"/>
  <c r="J23" i="140"/>
  <c r="I23" i="140"/>
  <c r="K23" i="140" s="1"/>
  <c r="J22" i="140"/>
  <c r="I22" i="140"/>
  <c r="K22" i="140" s="1"/>
  <c r="J21" i="140"/>
  <c r="K21" i="140" s="1"/>
  <c r="I21" i="140"/>
  <c r="J20" i="140"/>
  <c r="I20" i="140"/>
  <c r="K20" i="140" s="1"/>
  <c r="J19" i="140"/>
  <c r="I19" i="140"/>
  <c r="K19" i="140" s="1"/>
  <c r="K18" i="140"/>
  <c r="J18" i="140"/>
  <c r="I18" i="140"/>
  <c r="J17" i="140"/>
  <c r="I17" i="140"/>
  <c r="K17" i="140" s="1"/>
  <c r="J16" i="140"/>
  <c r="I16" i="140"/>
  <c r="K16" i="140" s="1"/>
  <c r="J15" i="140"/>
  <c r="I15" i="140"/>
  <c r="K15" i="140" s="1"/>
  <c r="J14" i="140"/>
  <c r="I14" i="140"/>
  <c r="K14" i="140" s="1"/>
  <c r="J13" i="140"/>
  <c r="K13" i="140" s="1"/>
  <c r="I13" i="140"/>
  <c r="J12" i="140"/>
  <c r="I12" i="140"/>
  <c r="K12" i="140" s="1"/>
  <c r="J11" i="140"/>
  <c r="I11" i="140"/>
  <c r="K11" i="140" s="1"/>
  <c r="K10" i="140"/>
  <c r="J10" i="140"/>
  <c r="I10" i="140"/>
  <c r="J9" i="140"/>
  <c r="I9" i="140"/>
  <c r="K9" i="140" s="1"/>
  <c r="J8" i="140"/>
  <c r="I8" i="140"/>
  <c r="K8" i="140" s="1"/>
  <c r="J7" i="140"/>
  <c r="I7" i="140"/>
  <c r="K7" i="140" s="1"/>
  <c r="J6" i="140"/>
  <c r="I6" i="140"/>
  <c r="K6" i="140" s="1"/>
  <c r="J5" i="140"/>
  <c r="K5" i="140" s="1"/>
  <c r="I5" i="140"/>
  <c r="J80" i="139"/>
  <c r="I80" i="139"/>
  <c r="K80" i="139" s="1"/>
  <c r="J79" i="139"/>
  <c r="I79" i="139"/>
  <c r="K79" i="139" s="1"/>
  <c r="J78" i="139"/>
  <c r="K78" i="139" s="1"/>
  <c r="I78" i="139"/>
  <c r="K77" i="139"/>
  <c r="J77" i="139"/>
  <c r="I77" i="139"/>
  <c r="J76" i="139"/>
  <c r="I76" i="139"/>
  <c r="K76" i="139" s="1"/>
  <c r="K75" i="139"/>
  <c r="J75" i="139"/>
  <c r="I75" i="139"/>
  <c r="J74" i="139"/>
  <c r="I74" i="139"/>
  <c r="K74" i="139" s="1"/>
  <c r="J73" i="139"/>
  <c r="I73" i="139"/>
  <c r="K73" i="139" s="1"/>
  <c r="J72" i="139"/>
  <c r="I72" i="139"/>
  <c r="K72" i="139" s="1"/>
  <c r="J71" i="139"/>
  <c r="I71" i="139"/>
  <c r="K71" i="139" s="1"/>
  <c r="J70" i="139"/>
  <c r="K70" i="139" s="1"/>
  <c r="I70" i="139"/>
  <c r="K69" i="139"/>
  <c r="J69" i="139"/>
  <c r="I69" i="139"/>
  <c r="J68" i="139"/>
  <c r="I68" i="139"/>
  <c r="K68" i="139" s="1"/>
  <c r="K67" i="139"/>
  <c r="J67" i="139"/>
  <c r="I67" i="139"/>
  <c r="K66" i="139"/>
  <c r="J66" i="139"/>
  <c r="I66" i="139"/>
  <c r="J65" i="139"/>
  <c r="I65" i="139"/>
  <c r="K65" i="139" s="1"/>
  <c r="J64" i="139"/>
  <c r="I64" i="139"/>
  <c r="K64" i="139" s="1"/>
  <c r="J63" i="139"/>
  <c r="I63" i="139"/>
  <c r="K63" i="139" s="1"/>
  <c r="J62" i="139"/>
  <c r="K62" i="139" s="1"/>
  <c r="I62" i="139"/>
  <c r="K61" i="139"/>
  <c r="J61" i="139"/>
  <c r="I61" i="139"/>
  <c r="J60" i="139"/>
  <c r="I60" i="139"/>
  <c r="K59" i="139"/>
  <c r="J59" i="139"/>
  <c r="I59" i="139"/>
  <c r="K58" i="139"/>
  <c r="J58" i="139"/>
  <c r="I58" i="139"/>
  <c r="J57" i="139"/>
  <c r="I57" i="139"/>
  <c r="K57" i="139" s="1"/>
  <c r="J56" i="139"/>
  <c r="I56" i="139"/>
  <c r="K56" i="139" s="1"/>
  <c r="J55" i="139"/>
  <c r="I55" i="139"/>
  <c r="K55" i="139" s="1"/>
  <c r="J54" i="139"/>
  <c r="K54" i="139" s="1"/>
  <c r="I54" i="139"/>
  <c r="K53" i="139"/>
  <c r="J53" i="139"/>
  <c r="I53" i="139"/>
  <c r="J52" i="139"/>
  <c r="I52" i="139"/>
  <c r="K52" i="139" s="1"/>
  <c r="J51" i="139"/>
  <c r="I51" i="139"/>
  <c r="K51" i="139" s="1"/>
  <c r="K50" i="139"/>
  <c r="J50" i="139"/>
  <c r="I50" i="139"/>
  <c r="J49" i="139"/>
  <c r="I49" i="139"/>
  <c r="K49" i="139" s="1"/>
  <c r="J48" i="139"/>
  <c r="I48" i="139"/>
  <c r="K48" i="139" s="1"/>
  <c r="J47" i="139"/>
  <c r="I47" i="139"/>
  <c r="K47" i="139" s="1"/>
  <c r="J46" i="139"/>
  <c r="K46" i="139" s="1"/>
  <c r="I46" i="139"/>
  <c r="K45" i="139"/>
  <c r="J45" i="139"/>
  <c r="I45" i="139"/>
  <c r="J44" i="139"/>
  <c r="I44" i="139"/>
  <c r="K44" i="139" s="1"/>
  <c r="J43" i="139"/>
  <c r="I43" i="139"/>
  <c r="K43" i="139" s="1"/>
  <c r="K42" i="139"/>
  <c r="J42" i="139"/>
  <c r="I42" i="139"/>
  <c r="J41" i="139"/>
  <c r="I41" i="139"/>
  <c r="K41" i="139" s="1"/>
  <c r="J40" i="139"/>
  <c r="I40" i="139"/>
  <c r="K40" i="139" s="1"/>
  <c r="J39" i="139"/>
  <c r="I39" i="139"/>
  <c r="K39" i="139" s="1"/>
  <c r="J38" i="139"/>
  <c r="K38" i="139" s="1"/>
  <c r="I38" i="139"/>
  <c r="K37" i="139"/>
  <c r="J37" i="139"/>
  <c r="I37" i="139"/>
  <c r="J36" i="139"/>
  <c r="I36" i="139"/>
  <c r="K36" i="139" s="1"/>
  <c r="J35" i="139"/>
  <c r="I35" i="139"/>
  <c r="K35" i="139" s="1"/>
  <c r="K34" i="139"/>
  <c r="J34" i="139"/>
  <c r="I34" i="139"/>
  <c r="J33" i="139"/>
  <c r="I33" i="139"/>
  <c r="K33" i="139" s="1"/>
  <c r="J32" i="139"/>
  <c r="I32" i="139"/>
  <c r="K32" i="139" s="1"/>
  <c r="J31" i="139"/>
  <c r="I31" i="139"/>
  <c r="K31" i="139" s="1"/>
  <c r="J30" i="139"/>
  <c r="K30" i="139" s="1"/>
  <c r="I30" i="139"/>
  <c r="J29" i="139"/>
  <c r="I29" i="139"/>
  <c r="K29" i="139" s="1"/>
  <c r="J28" i="139"/>
  <c r="I28" i="139"/>
  <c r="J27" i="139"/>
  <c r="I27" i="139"/>
  <c r="K26" i="139"/>
  <c r="J26" i="139"/>
  <c r="I26" i="139"/>
  <c r="J25" i="139"/>
  <c r="I25" i="139"/>
  <c r="K25" i="139" s="1"/>
  <c r="J24" i="139"/>
  <c r="I24" i="139"/>
  <c r="K24" i="139" s="1"/>
  <c r="J23" i="139"/>
  <c r="I23" i="139"/>
  <c r="K23" i="139" s="1"/>
  <c r="J22" i="139"/>
  <c r="K22" i="139" s="1"/>
  <c r="I22" i="139"/>
  <c r="K21" i="139"/>
  <c r="J21" i="139"/>
  <c r="I21" i="139"/>
  <c r="J20" i="139"/>
  <c r="I20" i="139"/>
  <c r="K20" i="139" s="1"/>
  <c r="J19" i="139"/>
  <c r="I19" i="139"/>
  <c r="K19" i="139" s="1"/>
  <c r="K18" i="139"/>
  <c r="J18" i="139"/>
  <c r="I18" i="139"/>
  <c r="J17" i="139"/>
  <c r="I17" i="139"/>
  <c r="K17" i="139" s="1"/>
  <c r="J16" i="139"/>
  <c r="I16" i="139"/>
  <c r="K16" i="139" s="1"/>
  <c r="J15" i="139"/>
  <c r="I15" i="139"/>
  <c r="K15" i="139" s="1"/>
  <c r="J14" i="139"/>
  <c r="K14" i="139" s="1"/>
  <c r="I14" i="139"/>
  <c r="K13" i="139"/>
  <c r="J13" i="139"/>
  <c r="I13" i="139"/>
  <c r="J12" i="139"/>
  <c r="I12" i="139"/>
  <c r="K12" i="139" s="1"/>
  <c r="J11" i="139"/>
  <c r="I11" i="139"/>
  <c r="K11" i="139" s="1"/>
  <c r="K10" i="139"/>
  <c r="J10" i="139"/>
  <c r="I10" i="139"/>
  <c r="J9" i="139"/>
  <c r="I9" i="139"/>
  <c r="K9" i="139" s="1"/>
  <c r="J8" i="139"/>
  <c r="I8" i="139"/>
  <c r="K8" i="139" s="1"/>
  <c r="J7" i="139"/>
  <c r="I7" i="139"/>
  <c r="K7" i="139" s="1"/>
  <c r="J6" i="139"/>
  <c r="K6" i="139" s="1"/>
  <c r="I6" i="139"/>
  <c r="K5" i="139"/>
  <c r="J5" i="139"/>
  <c r="I5" i="139"/>
  <c r="J80" i="138"/>
  <c r="I80" i="138"/>
  <c r="K80" i="138" s="1"/>
  <c r="J79" i="138"/>
  <c r="I79" i="138"/>
  <c r="K79" i="138" s="1"/>
  <c r="J78" i="138"/>
  <c r="I78" i="138"/>
  <c r="K78" i="138" s="1"/>
  <c r="K77" i="138"/>
  <c r="J77" i="138"/>
  <c r="I77" i="138"/>
  <c r="K76" i="138"/>
  <c r="J76" i="138"/>
  <c r="I76" i="138"/>
  <c r="J75" i="138"/>
  <c r="I75" i="138"/>
  <c r="K75" i="138" s="1"/>
  <c r="J74" i="138"/>
  <c r="I74" i="138"/>
  <c r="K74" i="138" s="1"/>
  <c r="K73" i="138"/>
  <c r="J73" i="138"/>
  <c r="I73" i="138"/>
  <c r="J72" i="138"/>
  <c r="K72" i="138" s="1"/>
  <c r="I72" i="138"/>
  <c r="J71" i="138"/>
  <c r="I71" i="138"/>
  <c r="K71" i="138" s="1"/>
  <c r="J70" i="138"/>
  <c r="I70" i="138"/>
  <c r="K70" i="138" s="1"/>
  <c r="K69" i="138"/>
  <c r="J69" i="138"/>
  <c r="I69" i="138"/>
  <c r="J68" i="138"/>
  <c r="K68" i="138" s="1"/>
  <c r="I68" i="138"/>
  <c r="J67" i="138"/>
  <c r="I67" i="138"/>
  <c r="K67" i="138" s="1"/>
  <c r="J66" i="138"/>
  <c r="I66" i="138"/>
  <c r="K66" i="138" s="1"/>
  <c r="K65" i="138"/>
  <c r="J65" i="138"/>
  <c r="I65" i="138"/>
  <c r="J64" i="138"/>
  <c r="K64" i="138" s="1"/>
  <c r="I64" i="138"/>
  <c r="J63" i="138"/>
  <c r="I63" i="138"/>
  <c r="K63" i="138" s="1"/>
  <c r="J62" i="138"/>
  <c r="I62" i="138"/>
  <c r="K62" i="138" s="1"/>
  <c r="K61" i="138"/>
  <c r="J61" i="138"/>
  <c r="I61" i="138"/>
  <c r="J60" i="138"/>
  <c r="K60" i="138" s="1"/>
  <c r="I60" i="138"/>
  <c r="J59" i="138"/>
  <c r="I59" i="138"/>
  <c r="K59" i="138" s="1"/>
  <c r="J58" i="138"/>
  <c r="I58" i="138"/>
  <c r="K58" i="138" s="1"/>
  <c r="K57" i="138"/>
  <c r="J57" i="138"/>
  <c r="I57" i="138"/>
  <c r="J56" i="138"/>
  <c r="K56" i="138" s="1"/>
  <c r="I56" i="138"/>
  <c r="J55" i="138"/>
  <c r="I55" i="138"/>
  <c r="K55" i="138" s="1"/>
  <c r="J54" i="138"/>
  <c r="I54" i="138"/>
  <c r="K54" i="138" s="1"/>
  <c r="K53" i="138"/>
  <c r="J53" i="138"/>
  <c r="I53" i="138"/>
  <c r="J52" i="138"/>
  <c r="K52" i="138" s="1"/>
  <c r="I52" i="138"/>
  <c r="J51" i="138"/>
  <c r="I51" i="138"/>
  <c r="K51" i="138" s="1"/>
  <c r="J50" i="138"/>
  <c r="I50" i="138"/>
  <c r="K50" i="138" s="1"/>
  <c r="K49" i="138"/>
  <c r="J49" i="138"/>
  <c r="I49" i="138"/>
  <c r="J48" i="138"/>
  <c r="K48" i="138" s="1"/>
  <c r="I48" i="138"/>
  <c r="J47" i="138"/>
  <c r="I47" i="138"/>
  <c r="K47" i="138" s="1"/>
  <c r="J46" i="138"/>
  <c r="I46" i="138"/>
  <c r="K46" i="138" s="1"/>
  <c r="K45" i="138"/>
  <c r="J45" i="138"/>
  <c r="I45" i="138"/>
  <c r="J44" i="138"/>
  <c r="K44" i="138" s="1"/>
  <c r="I44" i="138"/>
  <c r="J43" i="138"/>
  <c r="I43" i="138"/>
  <c r="K43" i="138" s="1"/>
  <c r="J42" i="138"/>
  <c r="I42" i="138"/>
  <c r="K42" i="138" s="1"/>
  <c r="K41" i="138"/>
  <c r="J41" i="138"/>
  <c r="I41" i="138"/>
  <c r="J40" i="138"/>
  <c r="K40" i="138" s="1"/>
  <c r="I40" i="138"/>
  <c r="J39" i="138"/>
  <c r="I39" i="138"/>
  <c r="K39" i="138" s="1"/>
  <c r="J38" i="138"/>
  <c r="I38" i="138"/>
  <c r="K38" i="138" s="1"/>
  <c r="K37" i="138"/>
  <c r="J37" i="138"/>
  <c r="I37" i="138"/>
  <c r="J36" i="138"/>
  <c r="K36" i="138" s="1"/>
  <c r="I36" i="138"/>
  <c r="J35" i="138"/>
  <c r="I35" i="138"/>
  <c r="K35" i="138" s="1"/>
  <c r="J34" i="138"/>
  <c r="I34" i="138"/>
  <c r="K34" i="138" s="1"/>
  <c r="K33" i="138"/>
  <c r="J33" i="138"/>
  <c r="I33" i="138"/>
  <c r="J32" i="138"/>
  <c r="K32" i="138" s="1"/>
  <c r="I32" i="138"/>
  <c r="J31" i="138"/>
  <c r="I31" i="138"/>
  <c r="K31" i="138" s="1"/>
  <c r="J30" i="138"/>
  <c r="I30" i="138"/>
  <c r="K30" i="138" s="1"/>
  <c r="J29" i="138"/>
  <c r="I29" i="138"/>
  <c r="K29" i="138" s="1"/>
  <c r="J28" i="138"/>
  <c r="K28" i="138" s="1"/>
  <c r="I28" i="138"/>
  <c r="J27" i="138"/>
  <c r="I27" i="138"/>
  <c r="J26" i="138"/>
  <c r="I26" i="138"/>
  <c r="K26" i="138" s="1"/>
  <c r="K25" i="138"/>
  <c r="J25" i="138"/>
  <c r="I25" i="138"/>
  <c r="J24" i="138"/>
  <c r="I24" i="138"/>
  <c r="K24" i="138" s="1"/>
  <c r="J23" i="138"/>
  <c r="I23" i="138"/>
  <c r="K23" i="138" s="1"/>
  <c r="J22" i="138"/>
  <c r="I22" i="138"/>
  <c r="K22" i="138" s="1"/>
  <c r="K21" i="138"/>
  <c r="J21" i="138"/>
  <c r="I21" i="138"/>
  <c r="J20" i="138"/>
  <c r="K20" i="138" s="1"/>
  <c r="I20" i="138"/>
  <c r="J19" i="138"/>
  <c r="I19" i="138"/>
  <c r="K19" i="138" s="1"/>
  <c r="J18" i="138"/>
  <c r="I18" i="138"/>
  <c r="K18" i="138" s="1"/>
  <c r="K17" i="138"/>
  <c r="J17" i="138"/>
  <c r="I17" i="138"/>
  <c r="J16" i="138"/>
  <c r="I16" i="138"/>
  <c r="K16" i="138" s="1"/>
  <c r="J15" i="138"/>
  <c r="I15" i="138"/>
  <c r="K15" i="138" s="1"/>
  <c r="J14" i="138"/>
  <c r="I14" i="138"/>
  <c r="K14" i="138" s="1"/>
  <c r="K13" i="138"/>
  <c r="J13" i="138"/>
  <c r="I13" i="138"/>
  <c r="J12" i="138"/>
  <c r="K12" i="138" s="1"/>
  <c r="I12" i="138"/>
  <c r="J11" i="138"/>
  <c r="I11" i="138"/>
  <c r="K11" i="138" s="1"/>
  <c r="J10" i="138"/>
  <c r="I10" i="138"/>
  <c r="K10" i="138" s="1"/>
  <c r="K9" i="138"/>
  <c r="J9" i="138"/>
  <c r="I9" i="138"/>
  <c r="J8" i="138"/>
  <c r="I8" i="138"/>
  <c r="K8" i="138" s="1"/>
  <c r="J7" i="138"/>
  <c r="I7" i="138"/>
  <c r="K7" i="138" s="1"/>
  <c r="J6" i="138"/>
  <c r="I6" i="138"/>
  <c r="K6" i="138" s="1"/>
  <c r="K5" i="138"/>
  <c r="J5" i="138"/>
  <c r="I5" i="138"/>
  <c r="K67" i="129"/>
  <c r="K43" i="140" l="1"/>
  <c r="K43" i="141"/>
  <c r="K43" i="143"/>
  <c r="K43" i="145"/>
  <c r="K29" i="145"/>
  <c r="K29" i="144"/>
  <c r="K29" i="143"/>
  <c r="K29" i="142"/>
  <c r="K28" i="144"/>
  <c r="K28" i="140"/>
  <c r="K28" i="139"/>
  <c r="K27" i="144"/>
  <c r="K27" i="142"/>
  <c r="K27" i="141"/>
  <c r="K27" i="139"/>
  <c r="K27" i="138"/>
  <c r="K60" i="144"/>
  <c r="K60" i="142"/>
  <c r="K60" i="139"/>
  <c r="J80" i="137"/>
  <c r="K80" i="137" s="1"/>
  <c r="I80" i="137"/>
  <c r="J79" i="137"/>
  <c r="I79" i="137"/>
  <c r="K79" i="137" s="1"/>
  <c r="J78" i="137"/>
  <c r="I78" i="137"/>
  <c r="K78" i="137" s="1"/>
  <c r="K77" i="137"/>
  <c r="J77" i="137"/>
  <c r="I77" i="137"/>
  <c r="K76" i="137"/>
  <c r="J76" i="137"/>
  <c r="I76" i="137"/>
  <c r="K75" i="137"/>
  <c r="J75" i="137"/>
  <c r="I75" i="137"/>
  <c r="J74" i="137"/>
  <c r="I74" i="137"/>
  <c r="K74" i="137" s="1"/>
  <c r="J73" i="137"/>
  <c r="I73" i="137"/>
  <c r="K73" i="137" s="1"/>
  <c r="J72" i="137"/>
  <c r="K72" i="137" s="1"/>
  <c r="I72" i="137"/>
  <c r="J71" i="137"/>
  <c r="I71" i="137"/>
  <c r="K71" i="137" s="1"/>
  <c r="J70" i="137"/>
  <c r="I70" i="137"/>
  <c r="K70" i="137" s="1"/>
  <c r="K69" i="137"/>
  <c r="J69" i="137"/>
  <c r="I69" i="137"/>
  <c r="K68" i="137"/>
  <c r="J68" i="137"/>
  <c r="I68" i="137"/>
  <c r="K67" i="137"/>
  <c r="J67" i="137"/>
  <c r="I67" i="137"/>
  <c r="J66" i="137"/>
  <c r="I66" i="137"/>
  <c r="K66" i="137" s="1"/>
  <c r="J65" i="137"/>
  <c r="I65" i="137"/>
  <c r="K65" i="137" s="1"/>
  <c r="J64" i="137"/>
  <c r="K64" i="137" s="1"/>
  <c r="I64" i="137"/>
  <c r="J63" i="137"/>
  <c r="I63" i="137"/>
  <c r="K63" i="137" s="1"/>
  <c r="J62" i="137"/>
  <c r="I62" i="137"/>
  <c r="K62" i="137" s="1"/>
  <c r="K61" i="137"/>
  <c r="J61" i="137"/>
  <c r="I61" i="137"/>
  <c r="K60" i="137"/>
  <c r="J60" i="137"/>
  <c r="I60" i="137"/>
  <c r="K59" i="137"/>
  <c r="J59" i="137"/>
  <c r="I59" i="137"/>
  <c r="J58" i="137"/>
  <c r="I58" i="137"/>
  <c r="K58" i="137" s="1"/>
  <c r="J57" i="137"/>
  <c r="I57" i="137"/>
  <c r="K57" i="137" s="1"/>
  <c r="J56" i="137"/>
  <c r="K56" i="137" s="1"/>
  <c r="I56" i="137"/>
  <c r="J55" i="137"/>
  <c r="I55" i="137"/>
  <c r="K55" i="137" s="1"/>
  <c r="J54" i="137"/>
  <c r="I54" i="137"/>
  <c r="K54" i="137" s="1"/>
  <c r="K53" i="137"/>
  <c r="J53" i="137"/>
  <c r="I53" i="137"/>
  <c r="K52" i="137"/>
  <c r="J52" i="137"/>
  <c r="I52" i="137"/>
  <c r="K51" i="137"/>
  <c r="J51" i="137"/>
  <c r="I51" i="137"/>
  <c r="J50" i="137"/>
  <c r="I50" i="137"/>
  <c r="K50" i="137" s="1"/>
  <c r="J49" i="137"/>
  <c r="I49" i="137"/>
  <c r="K49" i="137" s="1"/>
  <c r="J48" i="137"/>
  <c r="K48" i="137" s="1"/>
  <c r="I48" i="137"/>
  <c r="J47" i="137"/>
  <c r="I47" i="137"/>
  <c r="K47" i="137" s="1"/>
  <c r="J46" i="137"/>
  <c r="I46" i="137"/>
  <c r="K46" i="137" s="1"/>
  <c r="K45" i="137"/>
  <c r="J45" i="137"/>
  <c r="I45" i="137"/>
  <c r="K44" i="137"/>
  <c r="J44" i="137"/>
  <c r="I44" i="137"/>
  <c r="J43" i="137"/>
  <c r="I43" i="137"/>
  <c r="J42" i="137"/>
  <c r="I42" i="137"/>
  <c r="K42" i="137" s="1"/>
  <c r="J41" i="137"/>
  <c r="I41" i="137"/>
  <c r="K41" i="137" s="1"/>
  <c r="J40" i="137"/>
  <c r="K40" i="137" s="1"/>
  <c r="I40" i="137"/>
  <c r="J39" i="137"/>
  <c r="I39" i="137"/>
  <c r="K39" i="137" s="1"/>
  <c r="J38" i="137"/>
  <c r="I38" i="137"/>
  <c r="K38" i="137" s="1"/>
  <c r="K37" i="137"/>
  <c r="J37" i="137"/>
  <c r="I37" i="137"/>
  <c r="K36" i="137"/>
  <c r="J36" i="137"/>
  <c r="I36" i="137"/>
  <c r="K35" i="137"/>
  <c r="J35" i="137"/>
  <c r="I35" i="137"/>
  <c r="J34" i="137"/>
  <c r="I34" i="137"/>
  <c r="K34" i="137" s="1"/>
  <c r="J33" i="137"/>
  <c r="I33" i="137"/>
  <c r="K33" i="137" s="1"/>
  <c r="J32" i="137"/>
  <c r="K32" i="137" s="1"/>
  <c r="I32" i="137"/>
  <c r="J31" i="137"/>
  <c r="I31" i="137"/>
  <c r="K31" i="137" s="1"/>
  <c r="J30" i="137"/>
  <c r="I30" i="137"/>
  <c r="K30" i="137" s="1"/>
  <c r="J29" i="137"/>
  <c r="I29" i="137"/>
  <c r="J28" i="137"/>
  <c r="I28" i="137"/>
  <c r="K28" i="137" s="1"/>
  <c r="J27" i="137"/>
  <c r="I27" i="137"/>
  <c r="K27" i="137" s="1"/>
  <c r="J26" i="137"/>
  <c r="I26" i="137"/>
  <c r="K26" i="137" s="1"/>
  <c r="J25" i="137"/>
  <c r="I25" i="137"/>
  <c r="K25" i="137" s="1"/>
  <c r="J24" i="137"/>
  <c r="K24" i="137" s="1"/>
  <c r="I24" i="137"/>
  <c r="J23" i="137"/>
  <c r="I23" i="137"/>
  <c r="K23" i="137" s="1"/>
  <c r="J22" i="137"/>
  <c r="I22" i="137"/>
  <c r="K22" i="137" s="1"/>
  <c r="K21" i="137"/>
  <c r="J21" i="137"/>
  <c r="I21" i="137"/>
  <c r="K20" i="137"/>
  <c r="J20" i="137"/>
  <c r="I20" i="137"/>
  <c r="K19" i="137"/>
  <c r="J19" i="137"/>
  <c r="I19" i="137"/>
  <c r="J18" i="137"/>
  <c r="I18" i="137"/>
  <c r="K18" i="137" s="1"/>
  <c r="J17" i="137"/>
  <c r="I17" i="137"/>
  <c r="K17" i="137" s="1"/>
  <c r="J16" i="137"/>
  <c r="K16" i="137" s="1"/>
  <c r="I16" i="137"/>
  <c r="J15" i="137"/>
  <c r="I15" i="137"/>
  <c r="K15" i="137" s="1"/>
  <c r="J14" i="137"/>
  <c r="I14" i="137"/>
  <c r="K14" i="137" s="1"/>
  <c r="K13" i="137"/>
  <c r="J13" i="137"/>
  <c r="I13" i="137"/>
  <c r="K12" i="137"/>
  <c r="J12" i="137"/>
  <c r="I12" i="137"/>
  <c r="K11" i="137"/>
  <c r="J11" i="137"/>
  <c r="I11" i="137"/>
  <c r="J10" i="137"/>
  <c r="I10" i="137"/>
  <c r="K10" i="137" s="1"/>
  <c r="J9" i="137"/>
  <c r="I9" i="137"/>
  <c r="K9" i="137" s="1"/>
  <c r="J8" i="137"/>
  <c r="K8" i="137" s="1"/>
  <c r="I8" i="137"/>
  <c r="J7" i="137"/>
  <c r="I7" i="137"/>
  <c r="K7" i="137" s="1"/>
  <c r="J6" i="137"/>
  <c r="I6" i="137"/>
  <c r="K6" i="137" s="1"/>
  <c r="K5" i="137"/>
  <c r="J5" i="137"/>
  <c r="I5" i="137"/>
  <c r="J80" i="136"/>
  <c r="I80" i="136"/>
  <c r="K80" i="136" s="1"/>
  <c r="J79" i="136"/>
  <c r="I79" i="136"/>
  <c r="K79" i="136" s="1"/>
  <c r="J78" i="136"/>
  <c r="I78" i="136"/>
  <c r="K78" i="136" s="1"/>
  <c r="J77" i="136"/>
  <c r="K77" i="136" s="1"/>
  <c r="I77" i="136"/>
  <c r="J76" i="136"/>
  <c r="K76" i="136" s="1"/>
  <c r="I76" i="136"/>
  <c r="J75" i="136"/>
  <c r="I75" i="136"/>
  <c r="K75" i="136" s="1"/>
  <c r="K74" i="136"/>
  <c r="J74" i="136"/>
  <c r="I74" i="136"/>
  <c r="K73" i="136"/>
  <c r="J73" i="136"/>
  <c r="I73" i="136"/>
  <c r="J72" i="136"/>
  <c r="I72" i="136"/>
  <c r="K72" i="136" s="1"/>
  <c r="J71" i="136"/>
  <c r="I71" i="136"/>
  <c r="K71" i="136" s="1"/>
  <c r="J70" i="136"/>
  <c r="I70" i="136"/>
  <c r="K70" i="136" s="1"/>
  <c r="J69" i="136"/>
  <c r="K69" i="136" s="1"/>
  <c r="I69" i="136"/>
  <c r="J68" i="136"/>
  <c r="K68" i="136" s="1"/>
  <c r="I68" i="136"/>
  <c r="J67" i="136"/>
  <c r="I67" i="136"/>
  <c r="K67" i="136" s="1"/>
  <c r="K66" i="136"/>
  <c r="J66" i="136"/>
  <c r="I66" i="136"/>
  <c r="K65" i="136"/>
  <c r="J65" i="136"/>
  <c r="I65" i="136"/>
  <c r="J64" i="136"/>
  <c r="I64" i="136"/>
  <c r="K64" i="136" s="1"/>
  <c r="J63" i="136"/>
  <c r="I63" i="136"/>
  <c r="K63" i="136" s="1"/>
  <c r="J62" i="136"/>
  <c r="I62" i="136"/>
  <c r="K62" i="136" s="1"/>
  <c r="J61" i="136"/>
  <c r="K61" i="136" s="1"/>
  <c r="I61" i="136"/>
  <c r="J60" i="136"/>
  <c r="I60" i="136"/>
  <c r="J59" i="136"/>
  <c r="I59" i="136"/>
  <c r="K59" i="136" s="1"/>
  <c r="K58" i="136"/>
  <c r="J58" i="136"/>
  <c r="I58" i="136"/>
  <c r="K57" i="136"/>
  <c r="J57" i="136"/>
  <c r="I57" i="136"/>
  <c r="J56" i="136"/>
  <c r="I56" i="136"/>
  <c r="K56" i="136" s="1"/>
  <c r="J55" i="136"/>
  <c r="I55" i="136"/>
  <c r="K55" i="136" s="1"/>
  <c r="J54" i="136"/>
  <c r="I54" i="136"/>
  <c r="K54" i="136" s="1"/>
  <c r="J53" i="136"/>
  <c r="K53" i="136" s="1"/>
  <c r="I53" i="136"/>
  <c r="J52" i="136"/>
  <c r="K52" i="136" s="1"/>
  <c r="I52" i="136"/>
  <c r="J51" i="136"/>
  <c r="I51" i="136"/>
  <c r="K51" i="136" s="1"/>
  <c r="K50" i="136"/>
  <c r="J50" i="136"/>
  <c r="I50" i="136"/>
  <c r="K49" i="136"/>
  <c r="J49" i="136"/>
  <c r="I49" i="136"/>
  <c r="J48" i="136"/>
  <c r="I48" i="136"/>
  <c r="K48" i="136" s="1"/>
  <c r="J47" i="136"/>
  <c r="I47" i="136"/>
  <c r="K47" i="136" s="1"/>
  <c r="J46" i="136"/>
  <c r="I46" i="136"/>
  <c r="K46" i="136" s="1"/>
  <c r="J45" i="136"/>
  <c r="K45" i="136" s="1"/>
  <c r="I45" i="136"/>
  <c r="J44" i="136"/>
  <c r="K44" i="136" s="1"/>
  <c r="I44" i="136"/>
  <c r="J43" i="136"/>
  <c r="I43" i="136"/>
  <c r="K43" i="136" s="1"/>
  <c r="K42" i="136"/>
  <c r="J42" i="136"/>
  <c r="I42" i="136"/>
  <c r="K41" i="136"/>
  <c r="J41" i="136"/>
  <c r="I41" i="136"/>
  <c r="J40" i="136"/>
  <c r="I40" i="136"/>
  <c r="K40" i="136" s="1"/>
  <c r="J39" i="136"/>
  <c r="I39" i="136"/>
  <c r="K39" i="136" s="1"/>
  <c r="J38" i="136"/>
  <c r="I38" i="136"/>
  <c r="K38" i="136" s="1"/>
  <c r="J37" i="136"/>
  <c r="K37" i="136" s="1"/>
  <c r="I37" i="136"/>
  <c r="J36" i="136"/>
  <c r="K36" i="136" s="1"/>
  <c r="I36" i="136"/>
  <c r="J35" i="136"/>
  <c r="I35" i="136"/>
  <c r="K35" i="136" s="1"/>
  <c r="K34" i="136"/>
  <c r="J34" i="136"/>
  <c r="I34" i="136"/>
  <c r="K33" i="136"/>
  <c r="J33" i="136"/>
  <c r="I33" i="136"/>
  <c r="J32" i="136"/>
  <c r="I32" i="136"/>
  <c r="K32" i="136" s="1"/>
  <c r="J31" i="136"/>
  <c r="I31" i="136"/>
  <c r="K31" i="136" s="1"/>
  <c r="J30" i="136"/>
  <c r="I30" i="136"/>
  <c r="K30" i="136" s="1"/>
  <c r="J29" i="136"/>
  <c r="K29" i="136" s="1"/>
  <c r="I29" i="136"/>
  <c r="J28" i="136"/>
  <c r="I28" i="136"/>
  <c r="K28" i="136" s="1"/>
  <c r="J27" i="136"/>
  <c r="I27" i="136"/>
  <c r="K26" i="136"/>
  <c r="J26" i="136"/>
  <c r="I26" i="136"/>
  <c r="K25" i="136"/>
  <c r="J25" i="136"/>
  <c r="I25" i="136"/>
  <c r="J24" i="136"/>
  <c r="I24" i="136"/>
  <c r="K24" i="136" s="1"/>
  <c r="J23" i="136"/>
  <c r="I23" i="136"/>
  <c r="K23" i="136" s="1"/>
  <c r="J22" i="136"/>
  <c r="I22" i="136"/>
  <c r="K22" i="136" s="1"/>
  <c r="J21" i="136"/>
  <c r="K21" i="136" s="1"/>
  <c r="I21" i="136"/>
  <c r="J20" i="136"/>
  <c r="I20" i="136"/>
  <c r="K20" i="136" s="1"/>
  <c r="J19" i="136"/>
  <c r="I19" i="136"/>
  <c r="K19" i="136" s="1"/>
  <c r="K18" i="136"/>
  <c r="J18" i="136"/>
  <c r="I18" i="136"/>
  <c r="K17" i="136"/>
  <c r="J17" i="136"/>
  <c r="I17" i="136"/>
  <c r="J16" i="136"/>
  <c r="I16" i="136"/>
  <c r="K16" i="136" s="1"/>
  <c r="J15" i="136"/>
  <c r="I15" i="136"/>
  <c r="K15" i="136" s="1"/>
  <c r="J14" i="136"/>
  <c r="I14" i="136"/>
  <c r="K14" i="136" s="1"/>
  <c r="J13" i="136"/>
  <c r="K13" i="136" s="1"/>
  <c r="I13" i="136"/>
  <c r="J12" i="136"/>
  <c r="I12" i="136"/>
  <c r="K12" i="136" s="1"/>
  <c r="J11" i="136"/>
  <c r="I11" i="136"/>
  <c r="K11" i="136" s="1"/>
  <c r="K10" i="136"/>
  <c r="J10" i="136"/>
  <c r="I10" i="136"/>
  <c r="K9" i="136"/>
  <c r="J9" i="136"/>
  <c r="I9" i="136"/>
  <c r="J8" i="136"/>
  <c r="I8" i="136"/>
  <c r="K8" i="136" s="1"/>
  <c r="J7" i="136"/>
  <c r="I7" i="136"/>
  <c r="K7" i="136" s="1"/>
  <c r="J6" i="136"/>
  <c r="I6" i="136"/>
  <c r="K6" i="136" s="1"/>
  <c r="J5" i="136"/>
  <c r="K5" i="136" s="1"/>
  <c r="I5" i="136"/>
  <c r="J80" i="135"/>
  <c r="K80" i="135" s="1"/>
  <c r="I80" i="135"/>
  <c r="J79" i="135"/>
  <c r="I79" i="135"/>
  <c r="K79" i="135" s="1"/>
  <c r="J78" i="135"/>
  <c r="I78" i="135"/>
  <c r="K77" i="135"/>
  <c r="J77" i="135"/>
  <c r="I77" i="135"/>
  <c r="J76" i="135"/>
  <c r="I76" i="135"/>
  <c r="K76" i="135" s="1"/>
  <c r="J75" i="135"/>
  <c r="I75" i="135"/>
  <c r="K75" i="135" s="1"/>
  <c r="J74" i="135"/>
  <c r="I74" i="135"/>
  <c r="K74" i="135" s="1"/>
  <c r="J73" i="135"/>
  <c r="I73" i="135"/>
  <c r="J72" i="135"/>
  <c r="K72" i="135" s="1"/>
  <c r="I72" i="135"/>
  <c r="J71" i="135"/>
  <c r="I71" i="135"/>
  <c r="J70" i="135"/>
  <c r="I70" i="135"/>
  <c r="J69" i="135"/>
  <c r="I69" i="135"/>
  <c r="K69" i="135" s="1"/>
  <c r="J68" i="135"/>
  <c r="I68" i="135"/>
  <c r="K68" i="135" s="1"/>
  <c r="K67" i="135"/>
  <c r="J67" i="135"/>
  <c r="I67" i="135"/>
  <c r="J66" i="135"/>
  <c r="I66" i="135"/>
  <c r="J65" i="135"/>
  <c r="I65" i="135"/>
  <c r="K65" i="135" s="1"/>
  <c r="J64" i="135"/>
  <c r="K64" i="135" s="1"/>
  <c r="I64" i="135"/>
  <c r="J63" i="135"/>
  <c r="I63" i="135"/>
  <c r="K63" i="135" s="1"/>
  <c r="J62" i="135"/>
  <c r="I62" i="135"/>
  <c r="K61" i="135"/>
  <c r="J61" i="135"/>
  <c r="I61" i="135"/>
  <c r="J60" i="135"/>
  <c r="I60" i="135"/>
  <c r="K60" i="135" s="1"/>
  <c r="J59" i="135"/>
  <c r="I59" i="135"/>
  <c r="K59" i="135" s="1"/>
  <c r="J58" i="135"/>
  <c r="I58" i="135"/>
  <c r="K58" i="135" s="1"/>
  <c r="J57" i="135"/>
  <c r="I57" i="135"/>
  <c r="K56" i="135"/>
  <c r="J56" i="135"/>
  <c r="I56" i="135"/>
  <c r="J55" i="135"/>
  <c r="I55" i="135"/>
  <c r="J54" i="135"/>
  <c r="I54" i="135"/>
  <c r="J53" i="135"/>
  <c r="I53" i="135"/>
  <c r="K53" i="135" s="1"/>
  <c r="J52" i="135"/>
  <c r="I52" i="135"/>
  <c r="K52" i="135" s="1"/>
  <c r="K51" i="135"/>
  <c r="J51" i="135"/>
  <c r="I51" i="135"/>
  <c r="J50" i="135"/>
  <c r="I50" i="135"/>
  <c r="J49" i="135"/>
  <c r="I49" i="135"/>
  <c r="K49" i="135" s="1"/>
  <c r="J48" i="135"/>
  <c r="K48" i="135" s="1"/>
  <c r="I48" i="135"/>
  <c r="J47" i="135"/>
  <c r="I47" i="135"/>
  <c r="K47" i="135" s="1"/>
  <c r="J46" i="135"/>
  <c r="I46" i="135"/>
  <c r="K45" i="135"/>
  <c r="J45" i="135"/>
  <c r="I45" i="135"/>
  <c r="J44" i="135"/>
  <c r="I44" i="135"/>
  <c r="K44" i="135" s="1"/>
  <c r="J43" i="135"/>
  <c r="I43" i="135"/>
  <c r="K43" i="135" s="1"/>
  <c r="J42" i="135"/>
  <c r="I42" i="135"/>
  <c r="K42" i="135" s="1"/>
  <c r="J41" i="135"/>
  <c r="I41" i="135"/>
  <c r="K40" i="135"/>
  <c r="J40" i="135"/>
  <c r="I40" i="135"/>
  <c r="J39" i="135"/>
  <c r="I39" i="135"/>
  <c r="J38" i="135"/>
  <c r="I38" i="135"/>
  <c r="J37" i="135"/>
  <c r="I37" i="135"/>
  <c r="K37" i="135" s="1"/>
  <c r="J36" i="135"/>
  <c r="I36" i="135"/>
  <c r="K36" i="135" s="1"/>
  <c r="K35" i="135"/>
  <c r="J35" i="135"/>
  <c r="I35" i="135"/>
  <c r="J34" i="135"/>
  <c r="I34" i="135"/>
  <c r="J33" i="135"/>
  <c r="I33" i="135"/>
  <c r="K33" i="135" s="1"/>
  <c r="J32" i="135"/>
  <c r="K32" i="135" s="1"/>
  <c r="I32" i="135"/>
  <c r="J31" i="135"/>
  <c r="I31" i="135"/>
  <c r="K31" i="135" s="1"/>
  <c r="J30" i="135"/>
  <c r="I30" i="135"/>
  <c r="J29" i="135"/>
  <c r="I29" i="135"/>
  <c r="J28" i="135"/>
  <c r="I28" i="135"/>
  <c r="K28" i="135" s="1"/>
  <c r="J27" i="135"/>
  <c r="I27" i="135"/>
  <c r="J26" i="135"/>
  <c r="I26" i="135"/>
  <c r="K26" i="135" s="1"/>
  <c r="J25" i="135"/>
  <c r="I25" i="135"/>
  <c r="K25" i="135" s="1"/>
  <c r="K24" i="135"/>
  <c r="J24" i="135"/>
  <c r="I24" i="135"/>
  <c r="J23" i="135"/>
  <c r="K23" i="135" s="1"/>
  <c r="I23" i="135"/>
  <c r="J22" i="135"/>
  <c r="I22" i="135"/>
  <c r="J21" i="135"/>
  <c r="I21" i="135"/>
  <c r="K21" i="135" s="1"/>
  <c r="J20" i="135"/>
  <c r="I20" i="135"/>
  <c r="K20" i="135" s="1"/>
  <c r="K19" i="135"/>
  <c r="J19" i="135"/>
  <c r="I19" i="135"/>
  <c r="J18" i="135"/>
  <c r="I18" i="135"/>
  <c r="J17" i="135"/>
  <c r="I17" i="135"/>
  <c r="K17" i="135" s="1"/>
  <c r="J16" i="135"/>
  <c r="K16" i="135" s="1"/>
  <c r="I16" i="135"/>
  <c r="J15" i="135"/>
  <c r="I15" i="135"/>
  <c r="K15" i="135" s="1"/>
  <c r="J14" i="135"/>
  <c r="I14" i="135"/>
  <c r="K13" i="135"/>
  <c r="J13" i="135"/>
  <c r="I13" i="135"/>
  <c r="J12" i="135"/>
  <c r="I12" i="135"/>
  <c r="K12" i="135" s="1"/>
  <c r="J11" i="135"/>
  <c r="I11" i="135"/>
  <c r="K11" i="135" s="1"/>
  <c r="J10" i="135"/>
  <c r="I10" i="135"/>
  <c r="K10" i="135" s="1"/>
  <c r="J9" i="135"/>
  <c r="I9" i="135"/>
  <c r="K9" i="135" s="1"/>
  <c r="K8" i="135"/>
  <c r="J8" i="135"/>
  <c r="I8" i="135"/>
  <c r="J7" i="135"/>
  <c r="I7" i="135"/>
  <c r="J6" i="135"/>
  <c r="I6" i="135"/>
  <c r="J5" i="135"/>
  <c r="I5" i="135"/>
  <c r="K5" i="135" s="1"/>
  <c r="J80" i="134"/>
  <c r="I80" i="134"/>
  <c r="J79" i="134"/>
  <c r="I79" i="134"/>
  <c r="J78" i="134"/>
  <c r="I78" i="134"/>
  <c r="K78" i="134" s="1"/>
  <c r="J77" i="134"/>
  <c r="K77" i="134" s="1"/>
  <c r="I77" i="134"/>
  <c r="J76" i="134"/>
  <c r="K76" i="134" s="1"/>
  <c r="I76" i="134"/>
  <c r="J75" i="134"/>
  <c r="I75" i="134"/>
  <c r="K75" i="134" s="1"/>
  <c r="J74" i="134"/>
  <c r="I74" i="134"/>
  <c r="K74" i="134" s="1"/>
  <c r="J73" i="134"/>
  <c r="I73" i="134"/>
  <c r="K73" i="134" s="1"/>
  <c r="J72" i="134"/>
  <c r="K72" i="134" s="1"/>
  <c r="I72" i="134"/>
  <c r="J71" i="134"/>
  <c r="I71" i="134"/>
  <c r="K71" i="134" s="1"/>
  <c r="J70" i="134"/>
  <c r="I70" i="134"/>
  <c r="K70" i="134" s="1"/>
  <c r="J69" i="134"/>
  <c r="I69" i="134"/>
  <c r="K69" i="134" s="1"/>
  <c r="J68" i="134"/>
  <c r="K68" i="134" s="1"/>
  <c r="I68" i="134"/>
  <c r="J67" i="134"/>
  <c r="I67" i="134"/>
  <c r="K67" i="134" s="1"/>
  <c r="J66" i="134"/>
  <c r="I66" i="134"/>
  <c r="J65" i="134"/>
  <c r="I65" i="134"/>
  <c r="J64" i="134"/>
  <c r="I64" i="134"/>
  <c r="J63" i="134"/>
  <c r="I63" i="134"/>
  <c r="K63" i="134" s="1"/>
  <c r="J62" i="134"/>
  <c r="I62" i="134"/>
  <c r="K62" i="134" s="1"/>
  <c r="J61" i="134"/>
  <c r="K61" i="134" s="1"/>
  <c r="I61" i="134"/>
  <c r="J60" i="134"/>
  <c r="K60" i="134" s="1"/>
  <c r="I60" i="134"/>
  <c r="J59" i="134"/>
  <c r="I59" i="134"/>
  <c r="K59" i="134" s="1"/>
  <c r="J58" i="134"/>
  <c r="I58" i="134"/>
  <c r="J57" i="134"/>
  <c r="I57" i="134"/>
  <c r="K57" i="134" s="1"/>
  <c r="J56" i="134"/>
  <c r="I56" i="134"/>
  <c r="J55" i="134"/>
  <c r="I55" i="134"/>
  <c r="K55" i="134" s="1"/>
  <c r="J54" i="134"/>
  <c r="I54" i="134"/>
  <c r="K54" i="134" s="1"/>
  <c r="J53" i="134"/>
  <c r="I53" i="134"/>
  <c r="K53" i="134" s="1"/>
  <c r="J52" i="134"/>
  <c r="K52" i="134" s="1"/>
  <c r="I52" i="134"/>
  <c r="K51" i="134"/>
  <c r="J51" i="134"/>
  <c r="I51" i="134"/>
  <c r="J50" i="134"/>
  <c r="I50" i="134"/>
  <c r="K50" i="134" s="1"/>
  <c r="J49" i="134"/>
  <c r="I49" i="134"/>
  <c r="K49" i="134" s="1"/>
  <c r="J48" i="134"/>
  <c r="I48" i="134"/>
  <c r="J47" i="134"/>
  <c r="I47" i="134"/>
  <c r="K47" i="134" s="1"/>
  <c r="J46" i="134"/>
  <c r="I46" i="134"/>
  <c r="K46" i="134" s="1"/>
  <c r="J45" i="134"/>
  <c r="K45" i="134" s="1"/>
  <c r="I45" i="134"/>
  <c r="J44" i="134"/>
  <c r="K44" i="134" s="1"/>
  <c r="I44" i="134"/>
  <c r="K43" i="134"/>
  <c r="J43" i="134"/>
  <c r="I43" i="134"/>
  <c r="J42" i="134"/>
  <c r="I42" i="134"/>
  <c r="K42" i="134" s="1"/>
  <c r="J41" i="134"/>
  <c r="I41" i="134"/>
  <c r="K41" i="134" s="1"/>
  <c r="J40" i="134"/>
  <c r="I40" i="134"/>
  <c r="J39" i="134"/>
  <c r="I39" i="134"/>
  <c r="K39" i="134" s="1"/>
  <c r="J38" i="134"/>
  <c r="I38" i="134"/>
  <c r="K38" i="134" s="1"/>
  <c r="J37" i="134"/>
  <c r="I37" i="134"/>
  <c r="K37" i="134" s="1"/>
  <c r="J36" i="134"/>
  <c r="K36" i="134" s="1"/>
  <c r="I36" i="134"/>
  <c r="J35" i="134"/>
  <c r="I35" i="134"/>
  <c r="K35" i="134" s="1"/>
  <c r="J34" i="134"/>
  <c r="I34" i="134"/>
  <c r="K34" i="134" s="1"/>
  <c r="J33" i="134"/>
  <c r="I33" i="134"/>
  <c r="K33" i="134" s="1"/>
  <c r="J32" i="134"/>
  <c r="I32" i="134"/>
  <c r="J31" i="134"/>
  <c r="I31" i="134"/>
  <c r="K31" i="134" s="1"/>
  <c r="J30" i="134"/>
  <c r="I30" i="134"/>
  <c r="K30" i="134" s="1"/>
  <c r="J29" i="134"/>
  <c r="I29" i="134"/>
  <c r="J28" i="134"/>
  <c r="I28" i="134"/>
  <c r="J27" i="134"/>
  <c r="I27" i="134"/>
  <c r="J26" i="134"/>
  <c r="I26" i="134"/>
  <c r="K26" i="134" s="1"/>
  <c r="J25" i="134"/>
  <c r="I25" i="134"/>
  <c r="K25" i="134" s="1"/>
  <c r="J24" i="134"/>
  <c r="I24" i="134"/>
  <c r="J23" i="134"/>
  <c r="I23" i="134"/>
  <c r="K23" i="134" s="1"/>
  <c r="J22" i="134"/>
  <c r="I22" i="134"/>
  <c r="K22" i="134" s="1"/>
  <c r="J21" i="134"/>
  <c r="I21" i="134"/>
  <c r="K21" i="134" s="1"/>
  <c r="J20" i="134"/>
  <c r="K20" i="134" s="1"/>
  <c r="I20" i="134"/>
  <c r="K19" i="134"/>
  <c r="J19" i="134"/>
  <c r="I19" i="134"/>
  <c r="J18" i="134"/>
  <c r="I18" i="134"/>
  <c r="K18" i="134" s="1"/>
  <c r="J17" i="134"/>
  <c r="I17" i="134"/>
  <c r="K17" i="134" s="1"/>
  <c r="J16" i="134"/>
  <c r="I16" i="134"/>
  <c r="J15" i="134"/>
  <c r="I15" i="134"/>
  <c r="K15" i="134" s="1"/>
  <c r="J14" i="134"/>
  <c r="I14" i="134"/>
  <c r="J13" i="134"/>
  <c r="I13" i="134"/>
  <c r="J12" i="134"/>
  <c r="K12" i="134" s="1"/>
  <c r="I12" i="134"/>
  <c r="K11" i="134"/>
  <c r="J11" i="134"/>
  <c r="I11" i="134"/>
  <c r="J10" i="134"/>
  <c r="I10" i="134"/>
  <c r="K10" i="134" s="1"/>
  <c r="J9" i="134"/>
  <c r="I9" i="134"/>
  <c r="K9" i="134" s="1"/>
  <c r="J8" i="134"/>
  <c r="I8" i="134"/>
  <c r="J7" i="134"/>
  <c r="I7" i="134"/>
  <c r="K7" i="134" s="1"/>
  <c r="J6" i="134"/>
  <c r="I6" i="134"/>
  <c r="K6" i="134" s="1"/>
  <c r="J5" i="134"/>
  <c r="I5" i="134"/>
  <c r="K5" i="134" s="1"/>
  <c r="J80" i="133"/>
  <c r="I80" i="133"/>
  <c r="K80" i="133" s="1"/>
  <c r="J79" i="133"/>
  <c r="I79" i="133"/>
  <c r="K79" i="133" s="1"/>
  <c r="J78" i="133"/>
  <c r="I78" i="133"/>
  <c r="K78" i="133" s="1"/>
  <c r="J77" i="133"/>
  <c r="K77" i="133" s="1"/>
  <c r="I77" i="133"/>
  <c r="J76" i="133"/>
  <c r="I76" i="133"/>
  <c r="J75" i="133"/>
  <c r="I75" i="133"/>
  <c r="K75" i="133" s="1"/>
  <c r="J74" i="133"/>
  <c r="K74" i="133" s="1"/>
  <c r="I74" i="133"/>
  <c r="J73" i="133"/>
  <c r="I73" i="133"/>
  <c r="J72" i="133"/>
  <c r="I72" i="133"/>
  <c r="K72" i="133" s="1"/>
  <c r="J71" i="133"/>
  <c r="I71" i="133"/>
  <c r="K71" i="133" s="1"/>
  <c r="J70" i="133"/>
  <c r="I70" i="133"/>
  <c r="J69" i="133"/>
  <c r="I69" i="133"/>
  <c r="J68" i="133"/>
  <c r="I68" i="133"/>
  <c r="K68" i="133" s="1"/>
  <c r="J67" i="133"/>
  <c r="I67" i="133"/>
  <c r="K67" i="133" s="1"/>
  <c r="J66" i="133"/>
  <c r="I66" i="133"/>
  <c r="J65" i="133"/>
  <c r="I65" i="133"/>
  <c r="K65" i="133" s="1"/>
  <c r="J64" i="133"/>
  <c r="I64" i="133"/>
  <c r="K64" i="133" s="1"/>
  <c r="J63" i="133"/>
  <c r="I63" i="133"/>
  <c r="J62" i="133"/>
  <c r="I62" i="133"/>
  <c r="K62" i="133" s="1"/>
  <c r="J61" i="133"/>
  <c r="I61" i="133"/>
  <c r="J60" i="133"/>
  <c r="I60" i="133"/>
  <c r="K59" i="133"/>
  <c r="J59" i="133"/>
  <c r="I59" i="133"/>
  <c r="J58" i="133"/>
  <c r="I58" i="133"/>
  <c r="K58" i="133" s="1"/>
  <c r="J57" i="133"/>
  <c r="I57" i="133"/>
  <c r="K57" i="133" s="1"/>
  <c r="J56" i="133"/>
  <c r="I56" i="133"/>
  <c r="J55" i="133"/>
  <c r="I55" i="133"/>
  <c r="K55" i="133" s="1"/>
  <c r="J54" i="133"/>
  <c r="I54" i="133"/>
  <c r="K54" i="133" s="1"/>
  <c r="J53" i="133"/>
  <c r="I53" i="133"/>
  <c r="J52" i="133"/>
  <c r="I52" i="133"/>
  <c r="J51" i="133"/>
  <c r="I51" i="133"/>
  <c r="K51" i="133" s="1"/>
  <c r="J50" i="133"/>
  <c r="I50" i="133"/>
  <c r="K50" i="133" s="1"/>
  <c r="J49" i="133"/>
  <c r="I49" i="133"/>
  <c r="J48" i="133"/>
  <c r="I48" i="133"/>
  <c r="K48" i="133" s="1"/>
  <c r="J47" i="133"/>
  <c r="I47" i="133"/>
  <c r="K47" i="133" s="1"/>
  <c r="J46" i="133"/>
  <c r="I46" i="133"/>
  <c r="K46" i="133" s="1"/>
  <c r="J45" i="133"/>
  <c r="K45" i="133" s="1"/>
  <c r="I45" i="133"/>
  <c r="J44" i="133"/>
  <c r="I44" i="133"/>
  <c r="K44" i="133" s="1"/>
  <c r="J43" i="133"/>
  <c r="I43" i="133"/>
  <c r="J42" i="133"/>
  <c r="K42" i="133" s="1"/>
  <c r="I42" i="133"/>
  <c r="J41" i="133"/>
  <c r="I41" i="133"/>
  <c r="K41" i="133" s="1"/>
  <c r="J40" i="133"/>
  <c r="I40" i="133"/>
  <c r="K40" i="133" s="1"/>
  <c r="J39" i="133"/>
  <c r="I39" i="133"/>
  <c r="K39" i="133" s="1"/>
  <c r="J38" i="133"/>
  <c r="I38" i="133"/>
  <c r="J37" i="133"/>
  <c r="I37" i="133"/>
  <c r="J36" i="133"/>
  <c r="I36" i="133"/>
  <c r="K36" i="133" s="1"/>
  <c r="J35" i="133"/>
  <c r="I35" i="133"/>
  <c r="J34" i="133"/>
  <c r="I34" i="133"/>
  <c r="K34" i="133" s="1"/>
  <c r="J33" i="133"/>
  <c r="I33" i="133"/>
  <c r="K33" i="133" s="1"/>
  <c r="J32" i="133"/>
  <c r="I32" i="133"/>
  <c r="K32" i="133" s="1"/>
  <c r="J31" i="133"/>
  <c r="I31" i="133"/>
  <c r="J30" i="133"/>
  <c r="I30" i="133"/>
  <c r="J29" i="133"/>
  <c r="I29" i="133"/>
  <c r="J28" i="133"/>
  <c r="I28" i="133"/>
  <c r="J27" i="133"/>
  <c r="I27" i="133"/>
  <c r="K27" i="133" s="1"/>
  <c r="J26" i="133"/>
  <c r="I26" i="133"/>
  <c r="K26" i="133" s="1"/>
  <c r="J25" i="133"/>
  <c r="I25" i="133"/>
  <c r="K25" i="133" s="1"/>
  <c r="J24" i="133"/>
  <c r="I24" i="133"/>
  <c r="J23" i="133"/>
  <c r="I23" i="133"/>
  <c r="J22" i="133"/>
  <c r="I22" i="133"/>
  <c r="K22" i="133" s="1"/>
  <c r="J21" i="133"/>
  <c r="I21" i="133"/>
  <c r="J20" i="133"/>
  <c r="I20" i="133"/>
  <c r="J19" i="133"/>
  <c r="I19" i="133"/>
  <c r="K19" i="133" s="1"/>
  <c r="J18" i="133"/>
  <c r="I18" i="133"/>
  <c r="J17" i="133"/>
  <c r="I17" i="133"/>
  <c r="J16" i="133"/>
  <c r="I16" i="133"/>
  <c r="K16" i="133" s="1"/>
  <c r="J15" i="133"/>
  <c r="I15" i="133"/>
  <c r="K15" i="133" s="1"/>
  <c r="J14" i="133"/>
  <c r="I14" i="133"/>
  <c r="J13" i="133"/>
  <c r="K13" i="133" s="1"/>
  <c r="I13" i="133"/>
  <c r="J12" i="133"/>
  <c r="I12" i="133"/>
  <c r="K12" i="133" s="1"/>
  <c r="J11" i="133"/>
  <c r="I11" i="133"/>
  <c r="K11" i="133" s="1"/>
  <c r="J10" i="133"/>
  <c r="K10" i="133" s="1"/>
  <c r="I10" i="133"/>
  <c r="J9" i="133"/>
  <c r="I9" i="133"/>
  <c r="K9" i="133" s="1"/>
  <c r="J8" i="133"/>
  <c r="I8" i="133"/>
  <c r="K8" i="133" s="1"/>
  <c r="J7" i="133"/>
  <c r="I7" i="133"/>
  <c r="K7" i="133" s="1"/>
  <c r="J6" i="133"/>
  <c r="I6" i="133"/>
  <c r="J5" i="133"/>
  <c r="I5" i="133"/>
  <c r="J80" i="132"/>
  <c r="I80" i="132"/>
  <c r="K80" i="132" s="1"/>
  <c r="J79" i="132"/>
  <c r="I79" i="132"/>
  <c r="J78" i="132"/>
  <c r="I78" i="132"/>
  <c r="K78" i="132" s="1"/>
  <c r="J77" i="132"/>
  <c r="I77" i="132"/>
  <c r="K77" i="132" s="1"/>
  <c r="J76" i="132"/>
  <c r="I76" i="132"/>
  <c r="K76" i="132" s="1"/>
  <c r="J75" i="132"/>
  <c r="I75" i="132"/>
  <c r="K75" i="132" s="1"/>
  <c r="J74" i="132"/>
  <c r="I74" i="132"/>
  <c r="J73" i="132"/>
  <c r="I73" i="132"/>
  <c r="J72" i="132"/>
  <c r="I72" i="132"/>
  <c r="J71" i="132"/>
  <c r="I71" i="132"/>
  <c r="J70" i="132"/>
  <c r="I70" i="132"/>
  <c r="J69" i="132"/>
  <c r="I69" i="132"/>
  <c r="K69" i="132" s="1"/>
  <c r="J68" i="132"/>
  <c r="I68" i="132"/>
  <c r="K68" i="132" s="1"/>
  <c r="J67" i="132"/>
  <c r="I67" i="132"/>
  <c r="J66" i="132"/>
  <c r="I66" i="132"/>
  <c r="J65" i="132"/>
  <c r="I65" i="132"/>
  <c r="K65" i="132" s="1"/>
  <c r="J64" i="132"/>
  <c r="I64" i="132"/>
  <c r="J63" i="132"/>
  <c r="K63" i="132" s="1"/>
  <c r="I63" i="132"/>
  <c r="K62" i="132"/>
  <c r="J62" i="132"/>
  <c r="I62" i="132"/>
  <c r="J61" i="132"/>
  <c r="I61" i="132"/>
  <c r="J60" i="132"/>
  <c r="I60" i="132"/>
  <c r="J59" i="132"/>
  <c r="I59" i="132"/>
  <c r="J58" i="132"/>
  <c r="I58" i="132"/>
  <c r="K58" i="132" s="1"/>
  <c r="J57" i="132"/>
  <c r="I57" i="132"/>
  <c r="J56" i="132"/>
  <c r="K56" i="132" s="1"/>
  <c r="I56" i="132"/>
  <c r="J55" i="132"/>
  <c r="K55" i="132" s="1"/>
  <c r="I55" i="132"/>
  <c r="J54" i="132"/>
  <c r="I54" i="132"/>
  <c r="J53" i="132"/>
  <c r="K53" i="132" s="1"/>
  <c r="I53" i="132"/>
  <c r="J52" i="132"/>
  <c r="I52" i="132"/>
  <c r="J51" i="132"/>
  <c r="I51" i="132"/>
  <c r="J50" i="132"/>
  <c r="I50" i="132"/>
  <c r="J49" i="132"/>
  <c r="K49" i="132" s="1"/>
  <c r="I49" i="132"/>
  <c r="J48" i="132"/>
  <c r="K48" i="132" s="1"/>
  <c r="I48" i="132"/>
  <c r="J47" i="132"/>
  <c r="I47" i="132"/>
  <c r="J46" i="132"/>
  <c r="I46" i="132"/>
  <c r="J45" i="132"/>
  <c r="K45" i="132" s="1"/>
  <c r="I45" i="132"/>
  <c r="J44" i="132"/>
  <c r="I44" i="132"/>
  <c r="J43" i="132"/>
  <c r="I43" i="132"/>
  <c r="K43" i="132" s="1"/>
  <c r="J42" i="132"/>
  <c r="I42" i="132"/>
  <c r="J41" i="132"/>
  <c r="K41" i="132" s="1"/>
  <c r="I41" i="132"/>
  <c r="J40" i="132"/>
  <c r="I40" i="132"/>
  <c r="J39" i="132"/>
  <c r="I39" i="132"/>
  <c r="J38" i="132"/>
  <c r="I38" i="132"/>
  <c r="J37" i="132"/>
  <c r="I37" i="132"/>
  <c r="K37" i="132" s="1"/>
  <c r="J36" i="132"/>
  <c r="I36" i="132"/>
  <c r="K36" i="132" s="1"/>
  <c r="J35" i="132"/>
  <c r="I35" i="132"/>
  <c r="J34" i="132"/>
  <c r="I34" i="132"/>
  <c r="J33" i="132"/>
  <c r="I33" i="132"/>
  <c r="J32" i="132"/>
  <c r="I32" i="132"/>
  <c r="J31" i="132"/>
  <c r="I31" i="132"/>
  <c r="J30" i="132"/>
  <c r="I30" i="132"/>
  <c r="J29" i="132"/>
  <c r="I29" i="132"/>
  <c r="K29" i="132" s="1"/>
  <c r="J28" i="132"/>
  <c r="I28" i="132"/>
  <c r="J27" i="132"/>
  <c r="I27" i="132"/>
  <c r="J26" i="132"/>
  <c r="I26" i="132"/>
  <c r="K26" i="132" s="1"/>
  <c r="J25" i="132"/>
  <c r="I25" i="132"/>
  <c r="K25" i="132" s="1"/>
  <c r="J24" i="132"/>
  <c r="K24" i="132" s="1"/>
  <c r="I24" i="132"/>
  <c r="J23" i="132"/>
  <c r="K23" i="132" s="1"/>
  <c r="I23" i="132"/>
  <c r="J22" i="132"/>
  <c r="I22" i="132"/>
  <c r="K22" i="132" s="1"/>
  <c r="J21" i="132"/>
  <c r="I21" i="132"/>
  <c r="J20" i="132"/>
  <c r="I20" i="132"/>
  <c r="J19" i="132"/>
  <c r="I19" i="132"/>
  <c r="K19" i="132" s="1"/>
  <c r="J18" i="132"/>
  <c r="I18" i="132"/>
  <c r="K18" i="132" s="1"/>
  <c r="J17" i="132"/>
  <c r="I17" i="132"/>
  <c r="J16" i="132"/>
  <c r="K16" i="132" s="1"/>
  <c r="I16" i="132"/>
  <c r="J15" i="132"/>
  <c r="I15" i="132"/>
  <c r="J14" i="132"/>
  <c r="I14" i="132"/>
  <c r="K14" i="132" s="1"/>
  <c r="J13" i="132"/>
  <c r="I13" i="132"/>
  <c r="J12" i="132"/>
  <c r="I12" i="132"/>
  <c r="K12" i="132" s="1"/>
  <c r="J11" i="132"/>
  <c r="I11" i="132"/>
  <c r="K11" i="132" s="1"/>
  <c r="J10" i="132"/>
  <c r="I10" i="132"/>
  <c r="J9" i="132"/>
  <c r="K9" i="132" s="1"/>
  <c r="I9" i="132"/>
  <c r="J8" i="132"/>
  <c r="I8" i="132"/>
  <c r="J7" i="132"/>
  <c r="I7" i="132"/>
  <c r="J6" i="132"/>
  <c r="I6" i="132"/>
  <c r="K6" i="132" s="1"/>
  <c r="J5" i="132"/>
  <c r="I5" i="132"/>
  <c r="K5" i="132" s="1"/>
  <c r="J80" i="131"/>
  <c r="I80" i="131"/>
  <c r="K80" i="131" s="1"/>
  <c r="J79" i="131"/>
  <c r="I79" i="131"/>
  <c r="K79" i="131" s="1"/>
  <c r="J78" i="131"/>
  <c r="K78" i="131" s="1"/>
  <c r="I78" i="131"/>
  <c r="J77" i="131"/>
  <c r="K77" i="131" s="1"/>
  <c r="I77" i="131"/>
  <c r="J76" i="131"/>
  <c r="I76" i="131"/>
  <c r="K76" i="131" s="1"/>
  <c r="K75" i="131"/>
  <c r="J75" i="131"/>
  <c r="I75" i="131"/>
  <c r="K74" i="131"/>
  <c r="J74" i="131"/>
  <c r="I74" i="131"/>
  <c r="J73" i="131"/>
  <c r="I73" i="131"/>
  <c r="J72" i="131"/>
  <c r="I72" i="131"/>
  <c r="J71" i="131"/>
  <c r="I71" i="131"/>
  <c r="K71" i="131" s="1"/>
  <c r="J70" i="131"/>
  <c r="I70" i="131"/>
  <c r="J69" i="131"/>
  <c r="K69" i="131" s="1"/>
  <c r="I69" i="131"/>
  <c r="J68" i="131"/>
  <c r="I68" i="131"/>
  <c r="K68" i="131" s="1"/>
  <c r="K67" i="131"/>
  <c r="J67" i="131"/>
  <c r="I67" i="131"/>
  <c r="K66" i="131"/>
  <c r="J66" i="131"/>
  <c r="I66" i="131"/>
  <c r="J65" i="131"/>
  <c r="I65" i="131"/>
  <c r="K65" i="131" s="1"/>
  <c r="J64" i="131"/>
  <c r="I64" i="131"/>
  <c r="K64" i="131" s="1"/>
  <c r="J63" i="131"/>
  <c r="I63" i="131"/>
  <c r="J62" i="131"/>
  <c r="I62" i="131"/>
  <c r="J61" i="131"/>
  <c r="K61" i="131" s="1"/>
  <c r="I61" i="131"/>
  <c r="J60" i="131"/>
  <c r="I60" i="131"/>
  <c r="K59" i="131"/>
  <c r="J59" i="131"/>
  <c r="I59" i="131"/>
  <c r="K58" i="131"/>
  <c r="J58" i="131"/>
  <c r="I58" i="131"/>
  <c r="J57" i="131"/>
  <c r="I57" i="131"/>
  <c r="J56" i="131"/>
  <c r="I56" i="131"/>
  <c r="K56" i="131" s="1"/>
  <c r="J55" i="131"/>
  <c r="I55" i="131"/>
  <c r="K55" i="131" s="1"/>
  <c r="J54" i="131"/>
  <c r="K54" i="131" s="1"/>
  <c r="I54" i="131"/>
  <c r="J53" i="131"/>
  <c r="I53" i="131"/>
  <c r="K53" i="131" s="1"/>
  <c r="J52" i="131"/>
  <c r="I52" i="131"/>
  <c r="J51" i="131"/>
  <c r="I51" i="131"/>
  <c r="K50" i="131"/>
  <c r="J50" i="131"/>
  <c r="I50" i="131"/>
  <c r="J49" i="131"/>
  <c r="I49" i="131"/>
  <c r="J48" i="131"/>
  <c r="I48" i="131"/>
  <c r="J47" i="131"/>
  <c r="I47" i="131"/>
  <c r="K47" i="131" s="1"/>
  <c r="J46" i="131"/>
  <c r="K46" i="131" s="1"/>
  <c r="I46" i="131"/>
  <c r="J45" i="131"/>
  <c r="I45" i="131"/>
  <c r="K45" i="131" s="1"/>
  <c r="J44" i="131"/>
  <c r="I44" i="131"/>
  <c r="K44" i="131" s="1"/>
  <c r="J43" i="131"/>
  <c r="I43" i="131"/>
  <c r="J42" i="131"/>
  <c r="I42" i="131"/>
  <c r="J41" i="131"/>
  <c r="I41" i="131"/>
  <c r="J40" i="131"/>
  <c r="I40" i="131"/>
  <c r="K39" i="131"/>
  <c r="J39" i="131"/>
  <c r="I39" i="131"/>
  <c r="J38" i="131"/>
  <c r="K38" i="131" s="1"/>
  <c r="I38" i="131"/>
  <c r="J37" i="131"/>
  <c r="I37" i="131"/>
  <c r="K37" i="131" s="1"/>
  <c r="J36" i="131"/>
  <c r="I36" i="131"/>
  <c r="K35" i="131"/>
  <c r="J35" i="131"/>
  <c r="I35" i="131"/>
  <c r="K34" i="131"/>
  <c r="J34" i="131"/>
  <c r="I34" i="131"/>
  <c r="J33" i="131"/>
  <c r="I33" i="131"/>
  <c r="K33" i="131" s="1"/>
  <c r="J32" i="131"/>
  <c r="I32" i="131"/>
  <c r="K32" i="131" s="1"/>
  <c r="J31" i="131"/>
  <c r="I31" i="131"/>
  <c r="J30" i="131"/>
  <c r="K30" i="131" s="1"/>
  <c r="I30" i="131"/>
  <c r="J29" i="131"/>
  <c r="I29" i="131"/>
  <c r="J28" i="131"/>
  <c r="I28" i="131"/>
  <c r="K27" i="131"/>
  <c r="J27" i="131"/>
  <c r="I27" i="131"/>
  <c r="K26" i="131"/>
  <c r="J26" i="131"/>
  <c r="I26" i="131"/>
  <c r="J25" i="131"/>
  <c r="I25" i="131"/>
  <c r="K25" i="131" s="1"/>
  <c r="J24" i="131"/>
  <c r="I24" i="131"/>
  <c r="K24" i="131" s="1"/>
  <c r="K23" i="131"/>
  <c r="J23" i="131"/>
  <c r="I23" i="131"/>
  <c r="J22" i="131"/>
  <c r="K22" i="131" s="1"/>
  <c r="I22" i="131"/>
  <c r="J21" i="131"/>
  <c r="I21" i="131"/>
  <c r="K21" i="131" s="1"/>
  <c r="J20" i="131"/>
  <c r="I20" i="131"/>
  <c r="K19" i="131"/>
  <c r="J19" i="131"/>
  <c r="I19" i="131"/>
  <c r="K18" i="131"/>
  <c r="J18" i="131"/>
  <c r="I18" i="131"/>
  <c r="J17" i="131"/>
  <c r="I17" i="131"/>
  <c r="J16" i="131"/>
  <c r="I16" i="131"/>
  <c r="K16" i="131" s="1"/>
  <c r="J15" i="131"/>
  <c r="I15" i="131"/>
  <c r="J14" i="131"/>
  <c r="K14" i="131" s="1"/>
  <c r="I14" i="131"/>
  <c r="J13" i="131"/>
  <c r="I13" i="131"/>
  <c r="K13" i="131" s="1"/>
  <c r="J12" i="131"/>
  <c r="I12" i="131"/>
  <c r="J11" i="131"/>
  <c r="I11" i="131"/>
  <c r="K10" i="131"/>
  <c r="J10" i="131"/>
  <c r="I10" i="131"/>
  <c r="J9" i="131"/>
  <c r="I9" i="131"/>
  <c r="K9" i="131" s="1"/>
  <c r="J8" i="131"/>
  <c r="I8" i="131"/>
  <c r="K8" i="131" s="1"/>
  <c r="J7" i="131"/>
  <c r="I7" i="131"/>
  <c r="J6" i="131"/>
  <c r="K6" i="131" s="1"/>
  <c r="I6" i="131"/>
  <c r="J5" i="131"/>
  <c r="I5" i="131"/>
  <c r="K5" i="131" s="1"/>
  <c r="J80" i="130"/>
  <c r="I80" i="130"/>
  <c r="J79" i="130"/>
  <c r="I79" i="130"/>
  <c r="K79" i="130" s="1"/>
  <c r="J78" i="130"/>
  <c r="K78" i="130" s="1"/>
  <c r="I78" i="130"/>
  <c r="J77" i="130"/>
  <c r="K77" i="130" s="1"/>
  <c r="I77" i="130"/>
  <c r="J76" i="130"/>
  <c r="I76" i="130"/>
  <c r="K76" i="130" s="1"/>
  <c r="K75" i="130"/>
  <c r="J75" i="130"/>
  <c r="I75" i="130"/>
  <c r="K74" i="130"/>
  <c r="J74" i="130"/>
  <c r="I74" i="130"/>
  <c r="J73" i="130"/>
  <c r="I73" i="130"/>
  <c r="J72" i="130"/>
  <c r="I72" i="130"/>
  <c r="K72" i="130" s="1"/>
  <c r="J71" i="130"/>
  <c r="I71" i="130"/>
  <c r="J70" i="130"/>
  <c r="I70" i="130"/>
  <c r="J69" i="130"/>
  <c r="I69" i="130"/>
  <c r="K69" i="130" s="1"/>
  <c r="J68" i="130"/>
  <c r="I68" i="130"/>
  <c r="K68" i="130" s="1"/>
  <c r="J67" i="130"/>
  <c r="K67" i="130" s="1"/>
  <c r="I67" i="130"/>
  <c r="K66" i="130"/>
  <c r="J66" i="130"/>
  <c r="I66" i="130"/>
  <c r="J65" i="130"/>
  <c r="I65" i="130"/>
  <c r="J64" i="130"/>
  <c r="I64" i="130"/>
  <c r="K64" i="130" s="1"/>
  <c r="J63" i="130"/>
  <c r="I63" i="130"/>
  <c r="J62" i="130"/>
  <c r="K62" i="130" s="1"/>
  <c r="I62" i="130"/>
  <c r="J61" i="130"/>
  <c r="I61" i="130"/>
  <c r="J60" i="130"/>
  <c r="I60" i="130"/>
  <c r="K59" i="130"/>
  <c r="J59" i="130"/>
  <c r="I59" i="130"/>
  <c r="J58" i="130"/>
  <c r="I58" i="130"/>
  <c r="J57" i="130"/>
  <c r="I57" i="130"/>
  <c r="K57" i="130" s="1"/>
  <c r="J56" i="130"/>
  <c r="I56" i="130"/>
  <c r="J55" i="130"/>
  <c r="I55" i="130"/>
  <c r="K55" i="130" s="1"/>
  <c r="J54" i="130"/>
  <c r="K54" i="130" s="1"/>
  <c r="I54" i="130"/>
  <c r="J53" i="130"/>
  <c r="I53" i="130"/>
  <c r="K53" i="130" s="1"/>
  <c r="J52" i="130"/>
  <c r="I52" i="130"/>
  <c r="K52" i="130" s="1"/>
  <c r="K51" i="130"/>
  <c r="J51" i="130"/>
  <c r="I51" i="130"/>
  <c r="K50" i="130"/>
  <c r="J50" i="130"/>
  <c r="I50" i="130"/>
  <c r="J49" i="130"/>
  <c r="I49" i="130"/>
  <c r="J48" i="130"/>
  <c r="I48" i="130"/>
  <c r="J47" i="130"/>
  <c r="I47" i="130"/>
  <c r="J46" i="130"/>
  <c r="K46" i="130" s="1"/>
  <c r="I46" i="130"/>
  <c r="J45" i="130"/>
  <c r="I45" i="130"/>
  <c r="K45" i="130" s="1"/>
  <c r="J44" i="130"/>
  <c r="I44" i="130"/>
  <c r="K44" i="130" s="1"/>
  <c r="J43" i="130"/>
  <c r="I43" i="130"/>
  <c r="J42" i="130"/>
  <c r="I42" i="130"/>
  <c r="J41" i="130"/>
  <c r="I41" i="130"/>
  <c r="J40" i="130"/>
  <c r="I40" i="130"/>
  <c r="J39" i="130"/>
  <c r="I39" i="130"/>
  <c r="J38" i="130"/>
  <c r="K38" i="130" s="1"/>
  <c r="I38" i="130"/>
  <c r="J37" i="130"/>
  <c r="I37" i="130"/>
  <c r="K37" i="130" s="1"/>
  <c r="J36" i="130"/>
  <c r="I36" i="130"/>
  <c r="J35" i="130"/>
  <c r="I35" i="130"/>
  <c r="K35" i="130" s="1"/>
  <c r="J34" i="130"/>
  <c r="I34" i="130"/>
  <c r="K34" i="130" s="1"/>
  <c r="J33" i="130"/>
  <c r="I33" i="130"/>
  <c r="K33" i="130" s="1"/>
  <c r="J32" i="130"/>
  <c r="I32" i="130"/>
  <c r="J31" i="130"/>
  <c r="I31" i="130"/>
  <c r="K31" i="130" s="1"/>
  <c r="J30" i="130"/>
  <c r="I30" i="130"/>
  <c r="J29" i="130"/>
  <c r="I29" i="130"/>
  <c r="J28" i="130"/>
  <c r="I28" i="130"/>
  <c r="J27" i="130"/>
  <c r="K27" i="130" s="1"/>
  <c r="I27" i="130"/>
  <c r="K26" i="130"/>
  <c r="J26" i="130"/>
  <c r="I26" i="130"/>
  <c r="J25" i="130"/>
  <c r="I25" i="130"/>
  <c r="K25" i="130" s="1"/>
  <c r="J24" i="130"/>
  <c r="I24" i="130"/>
  <c r="J23" i="130"/>
  <c r="I23" i="130"/>
  <c r="K23" i="130" s="1"/>
  <c r="J22" i="130"/>
  <c r="I22" i="130"/>
  <c r="J21" i="130"/>
  <c r="I21" i="130"/>
  <c r="J20" i="130"/>
  <c r="I20" i="130"/>
  <c r="K19" i="130"/>
  <c r="J19" i="130"/>
  <c r="I19" i="130"/>
  <c r="K18" i="130"/>
  <c r="J18" i="130"/>
  <c r="I18" i="130"/>
  <c r="J17" i="130"/>
  <c r="I17" i="130"/>
  <c r="K17" i="130" s="1"/>
  <c r="J16" i="130"/>
  <c r="I16" i="130"/>
  <c r="J15" i="130"/>
  <c r="I15" i="130"/>
  <c r="J14" i="130"/>
  <c r="I14" i="130"/>
  <c r="J13" i="130"/>
  <c r="I13" i="130"/>
  <c r="K13" i="130" s="1"/>
  <c r="J12" i="130"/>
  <c r="I12" i="130"/>
  <c r="K12" i="130" s="1"/>
  <c r="J11" i="130"/>
  <c r="I11" i="130"/>
  <c r="J10" i="130"/>
  <c r="I10" i="130"/>
  <c r="J9" i="130"/>
  <c r="I9" i="130"/>
  <c r="K9" i="130" s="1"/>
  <c r="J8" i="130"/>
  <c r="I8" i="130"/>
  <c r="K8" i="130" s="1"/>
  <c r="K7" i="130"/>
  <c r="J7" i="130"/>
  <c r="I7" i="130"/>
  <c r="J6" i="130"/>
  <c r="K6" i="130" s="1"/>
  <c r="I6" i="130"/>
  <c r="J5" i="130"/>
  <c r="I5" i="130"/>
  <c r="K5" i="130" s="1"/>
  <c r="J80" i="129"/>
  <c r="I80" i="129"/>
  <c r="J79" i="129"/>
  <c r="I79" i="129"/>
  <c r="K79" i="129" s="1"/>
  <c r="J78" i="129"/>
  <c r="I78" i="129"/>
  <c r="K78" i="129" s="1"/>
  <c r="J77" i="129"/>
  <c r="K77" i="129" s="1"/>
  <c r="I77" i="129"/>
  <c r="J76" i="129"/>
  <c r="I76" i="129"/>
  <c r="K76" i="129" s="1"/>
  <c r="K75" i="129"/>
  <c r="J75" i="129"/>
  <c r="I75" i="129"/>
  <c r="J74" i="129"/>
  <c r="I74" i="129"/>
  <c r="J73" i="129"/>
  <c r="I73" i="129"/>
  <c r="J72" i="129"/>
  <c r="I72" i="129"/>
  <c r="J71" i="129"/>
  <c r="I71" i="129"/>
  <c r="J70" i="129"/>
  <c r="I70" i="129"/>
  <c r="J69" i="129"/>
  <c r="K69" i="129" s="1"/>
  <c r="I69" i="129"/>
  <c r="J68" i="129"/>
  <c r="I68" i="129"/>
  <c r="J67" i="129"/>
  <c r="I67" i="129"/>
  <c r="K66" i="129"/>
  <c r="J66" i="129"/>
  <c r="I66" i="129"/>
  <c r="J65" i="129"/>
  <c r="I65" i="129"/>
  <c r="J64" i="129"/>
  <c r="I64" i="129"/>
  <c r="J63" i="129"/>
  <c r="I63" i="129"/>
  <c r="J62" i="129"/>
  <c r="I62" i="129"/>
  <c r="J61" i="129"/>
  <c r="K61" i="129" s="1"/>
  <c r="I61" i="129"/>
  <c r="J60" i="129"/>
  <c r="I60" i="129"/>
  <c r="K59" i="129"/>
  <c r="J59" i="129"/>
  <c r="I59" i="129"/>
  <c r="J58" i="129"/>
  <c r="I58" i="129"/>
  <c r="K58" i="129" s="1"/>
  <c r="J57" i="129"/>
  <c r="I57" i="129"/>
  <c r="J56" i="129"/>
  <c r="I56" i="129"/>
  <c r="K56" i="129" s="1"/>
  <c r="J55" i="129"/>
  <c r="I55" i="129"/>
  <c r="K55" i="129" s="1"/>
  <c r="J54" i="129"/>
  <c r="I54" i="129"/>
  <c r="K54" i="129" s="1"/>
  <c r="J53" i="129"/>
  <c r="K53" i="129" s="1"/>
  <c r="I53" i="129"/>
  <c r="J52" i="129"/>
  <c r="I52" i="129"/>
  <c r="K51" i="129"/>
  <c r="J51" i="129"/>
  <c r="I51" i="129"/>
  <c r="K50" i="129"/>
  <c r="J50" i="129"/>
  <c r="I50" i="129"/>
  <c r="J49" i="129"/>
  <c r="I49" i="129"/>
  <c r="J48" i="129"/>
  <c r="I48" i="129"/>
  <c r="J47" i="129"/>
  <c r="I47" i="129"/>
  <c r="J46" i="129"/>
  <c r="I46" i="129"/>
  <c r="K46" i="129" s="1"/>
  <c r="J45" i="129"/>
  <c r="I45" i="129"/>
  <c r="J44" i="129"/>
  <c r="I44" i="129"/>
  <c r="J43" i="129"/>
  <c r="I43" i="129"/>
  <c r="J42" i="129"/>
  <c r="I42" i="129"/>
  <c r="K42" i="129" s="1"/>
  <c r="J41" i="129"/>
  <c r="I41" i="129"/>
  <c r="K41" i="129" s="1"/>
  <c r="J40" i="129"/>
  <c r="I40" i="129"/>
  <c r="J39" i="129"/>
  <c r="I39" i="129"/>
  <c r="J38" i="129"/>
  <c r="I38" i="129"/>
  <c r="K38" i="129" s="1"/>
  <c r="J37" i="129"/>
  <c r="I37" i="129"/>
  <c r="J36" i="129"/>
  <c r="I36" i="129"/>
  <c r="K35" i="129"/>
  <c r="J35" i="129"/>
  <c r="I35" i="129"/>
  <c r="K34" i="129"/>
  <c r="J34" i="129"/>
  <c r="I34" i="129"/>
  <c r="J33" i="129"/>
  <c r="I33" i="129"/>
  <c r="K33" i="129" s="1"/>
  <c r="J32" i="129"/>
  <c r="I32" i="129"/>
  <c r="J31" i="129"/>
  <c r="I31" i="129"/>
  <c r="K31" i="129" s="1"/>
  <c r="J30" i="129"/>
  <c r="I30" i="129"/>
  <c r="J29" i="129"/>
  <c r="I29" i="129"/>
  <c r="J28" i="129"/>
  <c r="I28" i="129"/>
  <c r="J27" i="129"/>
  <c r="I27" i="129"/>
  <c r="K26" i="129"/>
  <c r="J26" i="129"/>
  <c r="I26" i="129"/>
  <c r="J25" i="129"/>
  <c r="I25" i="129"/>
  <c r="K25" i="129" s="1"/>
  <c r="J24" i="129"/>
  <c r="I24" i="129"/>
  <c r="J23" i="129"/>
  <c r="I23" i="129"/>
  <c r="K23" i="129" s="1"/>
  <c r="J22" i="129"/>
  <c r="I22" i="129"/>
  <c r="J21" i="129"/>
  <c r="I21" i="129"/>
  <c r="K21" i="129" s="1"/>
  <c r="J20" i="129"/>
  <c r="I20" i="129"/>
  <c r="K20" i="129" s="1"/>
  <c r="J19" i="129"/>
  <c r="I19" i="129"/>
  <c r="K19" i="129" s="1"/>
  <c r="K18" i="129"/>
  <c r="J18" i="129"/>
  <c r="I18" i="129"/>
  <c r="J17" i="129"/>
  <c r="I17" i="129"/>
  <c r="J16" i="129"/>
  <c r="I16" i="129"/>
  <c r="J15" i="129"/>
  <c r="I15" i="129"/>
  <c r="J14" i="129"/>
  <c r="I14" i="129"/>
  <c r="J13" i="129"/>
  <c r="I13" i="129"/>
  <c r="J12" i="129"/>
  <c r="I12" i="129"/>
  <c r="J11" i="129"/>
  <c r="I11" i="129"/>
  <c r="J10" i="129"/>
  <c r="I10" i="129"/>
  <c r="K10" i="129" s="1"/>
  <c r="J9" i="129"/>
  <c r="I9" i="129"/>
  <c r="K9" i="129" s="1"/>
  <c r="J8" i="129"/>
  <c r="I8" i="129"/>
  <c r="K8" i="129" s="1"/>
  <c r="J7" i="129"/>
  <c r="I7" i="129"/>
  <c r="K7" i="129" s="1"/>
  <c r="J6" i="129"/>
  <c r="I6" i="129"/>
  <c r="J5" i="129"/>
  <c r="I5" i="129"/>
  <c r="K5" i="129" s="1"/>
  <c r="J80" i="128"/>
  <c r="I80" i="128"/>
  <c r="J79" i="128"/>
  <c r="I79" i="128"/>
  <c r="K79" i="128" s="1"/>
  <c r="J78" i="128"/>
  <c r="K78" i="128" s="1"/>
  <c r="I78" i="128"/>
  <c r="J77" i="128"/>
  <c r="K77" i="128" s="1"/>
  <c r="I77" i="128"/>
  <c r="J76" i="128"/>
  <c r="I76" i="128"/>
  <c r="K76" i="128" s="1"/>
  <c r="K75" i="128"/>
  <c r="J75" i="128"/>
  <c r="I75" i="128"/>
  <c r="J74" i="128"/>
  <c r="I74" i="128"/>
  <c r="K74" i="128" s="1"/>
  <c r="J73" i="128"/>
  <c r="I73" i="128"/>
  <c r="J72" i="128"/>
  <c r="K72" i="128" s="1"/>
  <c r="I72" i="128"/>
  <c r="J71" i="128"/>
  <c r="I71" i="128"/>
  <c r="K71" i="128" s="1"/>
  <c r="J70" i="128"/>
  <c r="I70" i="128"/>
  <c r="J69" i="128"/>
  <c r="I69" i="128"/>
  <c r="J68" i="128"/>
  <c r="I68" i="128"/>
  <c r="K68" i="128" s="1"/>
  <c r="J67" i="128"/>
  <c r="I67" i="128"/>
  <c r="J66" i="128"/>
  <c r="I66" i="128"/>
  <c r="J65" i="128"/>
  <c r="I65" i="128"/>
  <c r="J64" i="128"/>
  <c r="I64" i="128"/>
  <c r="J63" i="128"/>
  <c r="I63" i="128"/>
  <c r="J62" i="128"/>
  <c r="I62" i="128"/>
  <c r="K61" i="128"/>
  <c r="J61" i="128"/>
  <c r="I61" i="128"/>
  <c r="J60" i="128"/>
  <c r="I60" i="128"/>
  <c r="K60" i="128" s="1"/>
  <c r="K59" i="128"/>
  <c r="J59" i="128"/>
  <c r="I59" i="128"/>
  <c r="J58" i="128"/>
  <c r="I58" i="128"/>
  <c r="J57" i="128"/>
  <c r="I57" i="128"/>
  <c r="J56" i="128"/>
  <c r="K56" i="128" s="1"/>
  <c r="I56" i="128"/>
  <c r="J55" i="128"/>
  <c r="I55" i="128"/>
  <c r="K55" i="128" s="1"/>
  <c r="J54" i="128"/>
  <c r="K54" i="128" s="1"/>
  <c r="I54" i="128"/>
  <c r="K53" i="128"/>
  <c r="J53" i="128"/>
  <c r="I53" i="128"/>
  <c r="J52" i="128"/>
  <c r="I52" i="128"/>
  <c r="K52" i="128" s="1"/>
  <c r="J51" i="128"/>
  <c r="I51" i="128"/>
  <c r="J50" i="128"/>
  <c r="I50" i="128"/>
  <c r="K50" i="128" s="1"/>
  <c r="J49" i="128"/>
  <c r="I49" i="128"/>
  <c r="K49" i="128" s="1"/>
  <c r="J48" i="128"/>
  <c r="K48" i="128" s="1"/>
  <c r="I48" i="128"/>
  <c r="J47" i="128"/>
  <c r="I47" i="128"/>
  <c r="K47" i="128" s="1"/>
  <c r="J46" i="128"/>
  <c r="K46" i="128" s="1"/>
  <c r="I46" i="128"/>
  <c r="J45" i="128"/>
  <c r="I45" i="128"/>
  <c r="J44" i="128"/>
  <c r="I44" i="128"/>
  <c r="J43" i="128"/>
  <c r="I43" i="128"/>
  <c r="K43" i="128" s="1"/>
  <c r="J42" i="128"/>
  <c r="I42" i="128"/>
  <c r="J41" i="128"/>
  <c r="I41" i="128"/>
  <c r="J40" i="128"/>
  <c r="I40" i="128"/>
  <c r="J39" i="128"/>
  <c r="I39" i="128"/>
  <c r="J38" i="128"/>
  <c r="I38" i="128"/>
  <c r="J37" i="128"/>
  <c r="I37" i="128"/>
  <c r="J36" i="128"/>
  <c r="I36" i="128"/>
  <c r="J35" i="128"/>
  <c r="I35" i="128"/>
  <c r="K35" i="128" s="1"/>
  <c r="J34" i="128"/>
  <c r="I34" i="128"/>
  <c r="J33" i="128"/>
  <c r="I33" i="128"/>
  <c r="K33" i="128" s="1"/>
  <c r="J32" i="128"/>
  <c r="K32" i="128" s="1"/>
  <c r="I32" i="128"/>
  <c r="J31" i="128"/>
  <c r="I31" i="128"/>
  <c r="J30" i="128"/>
  <c r="I30" i="128"/>
  <c r="J29" i="128"/>
  <c r="I29" i="128"/>
  <c r="J28" i="128"/>
  <c r="I28" i="128"/>
  <c r="J27" i="128"/>
  <c r="I27" i="128"/>
  <c r="J26" i="128"/>
  <c r="I26" i="128"/>
  <c r="K26" i="128" s="1"/>
  <c r="J25" i="128"/>
  <c r="I25" i="128"/>
  <c r="K25" i="128" s="1"/>
  <c r="J24" i="128"/>
  <c r="I24" i="128"/>
  <c r="J23" i="128"/>
  <c r="I23" i="128"/>
  <c r="J22" i="128"/>
  <c r="I22" i="128"/>
  <c r="J21" i="128"/>
  <c r="K21" i="128" s="1"/>
  <c r="I21" i="128"/>
  <c r="J20" i="128"/>
  <c r="I20" i="128"/>
  <c r="K19" i="128"/>
  <c r="J19" i="128"/>
  <c r="I19" i="128"/>
  <c r="J18" i="128"/>
  <c r="I18" i="128"/>
  <c r="K18" i="128" s="1"/>
  <c r="J17" i="128"/>
  <c r="I17" i="128"/>
  <c r="J16" i="128"/>
  <c r="I16" i="128"/>
  <c r="J15" i="128"/>
  <c r="I15" i="128"/>
  <c r="J14" i="128"/>
  <c r="I14" i="128"/>
  <c r="J13" i="128"/>
  <c r="I13" i="128"/>
  <c r="J12" i="128"/>
  <c r="I12" i="128"/>
  <c r="J11" i="128"/>
  <c r="I11" i="128"/>
  <c r="J10" i="128"/>
  <c r="I10" i="128"/>
  <c r="J9" i="128"/>
  <c r="I9" i="128"/>
  <c r="K9" i="128" s="1"/>
  <c r="J8" i="128"/>
  <c r="K8" i="128" s="1"/>
  <c r="I8" i="128"/>
  <c r="J7" i="128"/>
  <c r="I7" i="128"/>
  <c r="J6" i="128"/>
  <c r="I6" i="128"/>
  <c r="K5" i="128"/>
  <c r="J5" i="128"/>
  <c r="I5" i="128"/>
  <c r="J80" i="127"/>
  <c r="I80" i="127"/>
  <c r="J79" i="127"/>
  <c r="I79" i="127"/>
  <c r="K79" i="127" s="1"/>
  <c r="J78" i="127"/>
  <c r="I78" i="127"/>
  <c r="K78" i="127" s="1"/>
  <c r="J77" i="127"/>
  <c r="I77" i="127"/>
  <c r="J76" i="127"/>
  <c r="K76" i="127" s="1"/>
  <c r="I76" i="127"/>
  <c r="K75" i="127"/>
  <c r="J75" i="127"/>
  <c r="I75" i="127"/>
  <c r="J74" i="127"/>
  <c r="I74" i="127"/>
  <c r="J73" i="127"/>
  <c r="I73" i="127"/>
  <c r="J72" i="127"/>
  <c r="I72" i="127"/>
  <c r="J71" i="127"/>
  <c r="I71" i="127"/>
  <c r="K71" i="127" s="1"/>
  <c r="J70" i="127"/>
  <c r="I70" i="127"/>
  <c r="J69" i="127"/>
  <c r="I69" i="127"/>
  <c r="J68" i="127"/>
  <c r="I68" i="127"/>
  <c r="K68" i="127" s="1"/>
  <c r="J67" i="127"/>
  <c r="I67" i="127"/>
  <c r="J66" i="127"/>
  <c r="I66" i="127"/>
  <c r="K66" i="127" s="1"/>
  <c r="J65" i="127"/>
  <c r="I65" i="127"/>
  <c r="J64" i="127"/>
  <c r="I64" i="127"/>
  <c r="J63" i="127"/>
  <c r="I63" i="127"/>
  <c r="K63" i="127" s="1"/>
  <c r="J62" i="127"/>
  <c r="I62" i="127"/>
  <c r="K62" i="127" s="1"/>
  <c r="J61" i="127"/>
  <c r="I61" i="127"/>
  <c r="J60" i="127"/>
  <c r="I60" i="127"/>
  <c r="K60" i="127" s="1"/>
  <c r="K59" i="127"/>
  <c r="J59" i="127"/>
  <c r="I59" i="127"/>
  <c r="J58" i="127"/>
  <c r="I58" i="127"/>
  <c r="J57" i="127"/>
  <c r="I57" i="127"/>
  <c r="K57" i="127" s="1"/>
  <c r="J56" i="127"/>
  <c r="I56" i="127"/>
  <c r="J55" i="127"/>
  <c r="I55" i="127"/>
  <c r="K55" i="127" s="1"/>
  <c r="J54" i="127"/>
  <c r="I54" i="127"/>
  <c r="K54" i="127" s="1"/>
  <c r="K53" i="127"/>
  <c r="J53" i="127"/>
  <c r="I53" i="127"/>
  <c r="J52" i="127"/>
  <c r="I52" i="127"/>
  <c r="J51" i="127"/>
  <c r="I51" i="127"/>
  <c r="J50" i="127"/>
  <c r="I50" i="127"/>
  <c r="J49" i="127"/>
  <c r="I49" i="127"/>
  <c r="J48" i="127"/>
  <c r="I48" i="127"/>
  <c r="K48" i="127" s="1"/>
  <c r="J47" i="127"/>
  <c r="I47" i="127"/>
  <c r="K47" i="127" s="1"/>
  <c r="J46" i="127"/>
  <c r="I46" i="127"/>
  <c r="K46" i="127" s="1"/>
  <c r="K45" i="127"/>
  <c r="J45" i="127"/>
  <c r="I45" i="127"/>
  <c r="J44" i="127"/>
  <c r="I44" i="127"/>
  <c r="J43" i="127"/>
  <c r="I43" i="127"/>
  <c r="K43" i="127" s="1"/>
  <c r="J42" i="127"/>
  <c r="I42" i="127"/>
  <c r="J41" i="127"/>
  <c r="I41" i="127"/>
  <c r="J40" i="127"/>
  <c r="I40" i="127"/>
  <c r="J39" i="127"/>
  <c r="I39" i="127"/>
  <c r="K39" i="127" s="1"/>
  <c r="J38" i="127"/>
  <c r="I38" i="127"/>
  <c r="J37" i="127"/>
  <c r="I37" i="127"/>
  <c r="J36" i="127"/>
  <c r="I36" i="127"/>
  <c r="J35" i="127"/>
  <c r="I35" i="127"/>
  <c r="J34" i="127"/>
  <c r="I34" i="127"/>
  <c r="J33" i="127"/>
  <c r="I33" i="127"/>
  <c r="K33" i="127" s="1"/>
  <c r="J32" i="127"/>
  <c r="I32" i="127"/>
  <c r="J31" i="127"/>
  <c r="I31" i="127"/>
  <c r="J30" i="127"/>
  <c r="I30" i="127"/>
  <c r="K29" i="127"/>
  <c r="J29" i="127"/>
  <c r="I29" i="127"/>
  <c r="J28" i="127"/>
  <c r="I28" i="127"/>
  <c r="J27" i="127"/>
  <c r="I27" i="127"/>
  <c r="K26" i="127"/>
  <c r="J26" i="127"/>
  <c r="I26" i="127"/>
  <c r="J25" i="127"/>
  <c r="I25" i="127"/>
  <c r="K25" i="127" s="1"/>
  <c r="J24" i="127"/>
  <c r="I24" i="127"/>
  <c r="K24" i="127" s="1"/>
  <c r="J23" i="127"/>
  <c r="I23" i="127"/>
  <c r="K23" i="127" s="1"/>
  <c r="J22" i="127"/>
  <c r="I22" i="127"/>
  <c r="J21" i="127"/>
  <c r="I21" i="127"/>
  <c r="J20" i="127"/>
  <c r="I20" i="127"/>
  <c r="J19" i="127"/>
  <c r="I19" i="127"/>
  <c r="K18" i="127"/>
  <c r="J18" i="127"/>
  <c r="I18" i="127"/>
  <c r="J17" i="127"/>
  <c r="I17" i="127"/>
  <c r="J16" i="127"/>
  <c r="I16" i="127"/>
  <c r="J15" i="127"/>
  <c r="I15" i="127"/>
  <c r="K15" i="127" s="1"/>
  <c r="J14" i="127"/>
  <c r="I14" i="127"/>
  <c r="J13" i="127"/>
  <c r="K13" i="127" s="1"/>
  <c r="I13" i="127"/>
  <c r="J12" i="127"/>
  <c r="I12" i="127"/>
  <c r="J11" i="127"/>
  <c r="I11" i="127"/>
  <c r="J10" i="127"/>
  <c r="I10" i="127"/>
  <c r="J9" i="127"/>
  <c r="I9" i="127"/>
  <c r="K9" i="127" s="1"/>
  <c r="J8" i="127"/>
  <c r="I8" i="127"/>
  <c r="K8" i="127" s="1"/>
  <c r="J7" i="127"/>
  <c r="I7" i="127"/>
  <c r="J6" i="127"/>
  <c r="I6" i="127"/>
  <c r="J5" i="127"/>
  <c r="K5" i="127" s="1"/>
  <c r="I5" i="127"/>
  <c r="J80" i="126"/>
  <c r="I80" i="126"/>
  <c r="K80" i="126" s="1"/>
  <c r="J79" i="126"/>
  <c r="I79" i="126"/>
  <c r="K79" i="126" s="1"/>
  <c r="J78" i="126"/>
  <c r="I78" i="126"/>
  <c r="K78" i="126" s="1"/>
  <c r="J77" i="126"/>
  <c r="K77" i="126" s="1"/>
  <c r="I77" i="126"/>
  <c r="J76" i="126"/>
  <c r="K76" i="126" s="1"/>
  <c r="I76" i="126"/>
  <c r="J75" i="126"/>
  <c r="I75" i="126"/>
  <c r="K75" i="126" s="1"/>
  <c r="J74" i="126"/>
  <c r="I74" i="126"/>
  <c r="J73" i="126"/>
  <c r="I73" i="126"/>
  <c r="J72" i="126"/>
  <c r="I72" i="126"/>
  <c r="K72" i="126" s="1"/>
  <c r="J71" i="126"/>
  <c r="I71" i="126"/>
  <c r="K71" i="126" s="1"/>
  <c r="J70" i="126"/>
  <c r="I70" i="126"/>
  <c r="K70" i="126" s="1"/>
  <c r="J69" i="126"/>
  <c r="K69" i="126" s="1"/>
  <c r="I69" i="126"/>
  <c r="J68" i="126"/>
  <c r="I68" i="126"/>
  <c r="J67" i="126"/>
  <c r="I67" i="126"/>
  <c r="J66" i="126"/>
  <c r="I66" i="126"/>
  <c r="J65" i="126"/>
  <c r="I65" i="126"/>
  <c r="J64" i="126"/>
  <c r="I64" i="126"/>
  <c r="K64" i="126" s="1"/>
  <c r="J63" i="126"/>
  <c r="I63" i="126"/>
  <c r="J62" i="126"/>
  <c r="I62" i="126"/>
  <c r="K62" i="126" s="1"/>
  <c r="J61" i="126"/>
  <c r="I61" i="126"/>
  <c r="J60" i="126"/>
  <c r="K60" i="126" s="1"/>
  <c r="I60" i="126"/>
  <c r="J59" i="126"/>
  <c r="I59" i="126"/>
  <c r="K59" i="126" s="1"/>
  <c r="J58" i="126"/>
  <c r="I58" i="126"/>
  <c r="K57" i="126"/>
  <c r="J57" i="126"/>
  <c r="I57" i="126"/>
  <c r="J56" i="126"/>
  <c r="I56" i="126"/>
  <c r="J55" i="126"/>
  <c r="I55" i="126"/>
  <c r="K55" i="126" s="1"/>
  <c r="J54" i="126"/>
  <c r="I54" i="126"/>
  <c r="J53" i="126"/>
  <c r="I53" i="126"/>
  <c r="K53" i="126" s="1"/>
  <c r="J52" i="126"/>
  <c r="K52" i="126" s="1"/>
  <c r="I52" i="126"/>
  <c r="J51" i="126"/>
  <c r="I51" i="126"/>
  <c r="K51" i="126" s="1"/>
  <c r="J50" i="126"/>
  <c r="I50" i="126"/>
  <c r="J49" i="126"/>
  <c r="I49" i="126"/>
  <c r="J48" i="126"/>
  <c r="I48" i="126"/>
  <c r="K48" i="126" s="1"/>
  <c r="J47" i="126"/>
  <c r="I47" i="126"/>
  <c r="K46" i="126"/>
  <c r="J46" i="126"/>
  <c r="I46" i="126"/>
  <c r="J45" i="126"/>
  <c r="I45" i="126"/>
  <c r="J44" i="126"/>
  <c r="K44" i="126" s="1"/>
  <c r="I44" i="126"/>
  <c r="J43" i="126"/>
  <c r="I43" i="126"/>
  <c r="K43" i="126" s="1"/>
  <c r="J42" i="126"/>
  <c r="I42" i="126"/>
  <c r="J41" i="126"/>
  <c r="K41" i="126" s="1"/>
  <c r="I41" i="126"/>
  <c r="J40" i="126"/>
  <c r="I40" i="126"/>
  <c r="J39" i="126"/>
  <c r="I39" i="126"/>
  <c r="K39" i="126" s="1"/>
  <c r="J38" i="126"/>
  <c r="I38" i="126"/>
  <c r="J37" i="126"/>
  <c r="I37" i="126"/>
  <c r="K37" i="126" s="1"/>
  <c r="J36" i="126"/>
  <c r="K36" i="126" s="1"/>
  <c r="I36" i="126"/>
  <c r="J35" i="126"/>
  <c r="I35" i="126"/>
  <c r="K35" i="126" s="1"/>
  <c r="J34" i="126"/>
  <c r="I34" i="126"/>
  <c r="K33" i="126"/>
  <c r="J33" i="126"/>
  <c r="I33" i="126"/>
  <c r="J32" i="126"/>
  <c r="I32" i="126"/>
  <c r="J31" i="126"/>
  <c r="I31" i="126"/>
  <c r="J30" i="126"/>
  <c r="I30" i="126"/>
  <c r="J29" i="126"/>
  <c r="I29" i="126"/>
  <c r="K29" i="126" s="1"/>
  <c r="J28" i="126"/>
  <c r="I28" i="126"/>
  <c r="J27" i="126"/>
  <c r="I27" i="126"/>
  <c r="J26" i="126"/>
  <c r="I26" i="126"/>
  <c r="K26" i="126" s="1"/>
  <c r="K25" i="126"/>
  <c r="J25" i="126"/>
  <c r="I25" i="126"/>
  <c r="J24" i="126"/>
  <c r="I24" i="126"/>
  <c r="J23" i="126"/>
  <c r="I23" i="126"/>
  <c r="J22" i="126"/>
  <c r="I22" i="126"/>
  <c r="J21" i="126"/>
  <c r="K21" i="126" s="1"/>
  <c r="I21" i="126"/>
  <c r="J20" i="126"/>
  <c r="I20" i="126"/>
  <c r="J19" i="126"/>
  <c r="I19" i="126"/>
  <c r="K19" i="126" s="1"/>
  <c r="J18" i="126"/>
  <c r="I18" i="126"/>
  <c r="K18" i="126" s="1"/>
  <c r="J17" i="126"/>
  <c r="K17" i="126" s="1"/>
  <c r="I17" i="126"/>
  <c r="J16" i="126"/>
  <c r="I16" i="126"/>
  <c r="K16" i="126" s="1"/>
  <c r="J15" i="126"/>
  <c r="I15" i="126"/>
  <c r="J14" i="126"/>
  <c r="I14" i="126"/>
  <c r="K14" i="126" s="1"/>
  <c r="J13" i="126"/>
  <c r="I13" i="126"/>
  <c r="K13" i="126" s="1"/>
  <c r="J12" i="126"/>
  <c r="K12" i="126" s="1"/>
  <c r="I12" i="126"/>
  <c r="J11" i="126"/>
  <c r="I11" i="126"/>
  <c r="J10" i="126"/>
  <c r="I10" i="126"/>
  <c r="K9" i="126"/>
  <c r="J9" i="126"/>
  <c r="I9" i="126"/>
  <c r="J8" i="126"/>
  <c r="I8" i="126"/>
  <c r="K8" i="126" s="1"/>
  <c r="J7" i="126"/>
  <c r="I7" i="126"/>
  <c r="J6" i="126"/>
  <c r="I6" i="126"/>
  <c r="K6" i="126" s="1"/>
  <c r="K5" i="126"/>
  <c r="J5" i="126"/>
  <c r="I5" i="126"/>
  <c r="J80" i="125"/>
  <c r="I80" i="125"/>
  <c r="J79" i="125"/>
  <c r="I79" i="125"/>
  <c r="K79" i="125" s="1"/>
  <c r="J78" i="125"/>
  <c r="I78" i="125"/>
  <c r="K78" i="125" s="1"/>
  <c r="J77" i="125"/>
  <c r="K77" i="125" s="1"/>
  <c r="I77" i="125"/>
  <c r="J76" i="125"/>
  <c r="K76" i="125" s="1"/>
  <c r="I76" i="125"/>
  <c r="J75" i="125"/>
  <c r="I75" i="125"/>
  <c r="K75" i="125" s="1"/>
  <c r="J74" i="125"/>
  <c r="K74" i="125" s="1"/>
  <c r="I74" i="125"/>
  <c r="J73" i="125"/>
  <c r="I73" i="125"/>
  <c r="J72" i="125"/>
  <c r="I72" i="125"/>
  <c r="J71" i="125"/>
  <c r="I71" i="125"/>
  <c r="K71" i="125" s="1"/>
  <c r="J70" i="125"/>
  <c r="I70" i="125"/>
  <c r="K70" i="125" s="1"/>
  <c r="J69" i="125"/>
  <c r="K69" i="125" s="1"/>
  <c r="I69" i="125"/>
  <c r="J68" i="125"/>
  <c r="I68" i="125"/>
  <c r="J67" i="125"/>
  <c r="I67" i="125"/>
  <c r="K67" i="125" s="1"/>
  <c r="J66" i="125"/>
  <c r="I66" i="125"/>
  <c r="K66" i="125" s="1"/>
  <c r="K65" i="125"/>
  <c r="J65" i="125"/>
  <c r="I65" i="125"/>
  <c r="J64" i="125"/>
  <c r="I64" i="125"/>
  <c r="K64" i="125" s="1"/>
  <c r="J63" i="125"/>
  <c r="I63" i="125"/>
  <c r="J62" i="125"/>
  <c r="I62" i="125"/>
  <c r="J61" i="125"/>
  <c r="K61" i="125" s="1"/>
  <c r="I61" i="125"/>
  <c r="J60" i="125"/>
  <c r="K60" i="125" s="1"/>
  <c r="I60" i="125"/>
  <c r="J59" i="125"/>
  <c r="I59" i="125"/>
  <c r="K59" i="125" s="1"/>
  <c r="J58" i="125"/>
  <c r="I58" i="125"/>
  <c r="J57" i="125"/>
  <c r="I57" i="125"/>
  <c r="J56" i="125"/>
  <c r="I56" i="125"/>
  <c r="J55" i="125"/>
  <c r="I55" i="125"/>
  <c r="K55" i="125" s="1"/>
  <c r="J54" i="125"/>
  <c r="I54" i="125"/>
  <c r="J53" i="125"/>
  <c r="K53" i="125" s="1"/>
  <c r="I53" i="125"/>
  <c r="J52" i="125"/>
  <c r="K52" i="125" s="1"/>
  <c r="I52" i="125"/>
  <c r="J51" i="125"/>
  <c r="I51" i="125"/>
  <c r="K50" i="125"/>
  <c r="J50" i="125"/>
  <c r="I50" i="125"/>
  <c r="J49" i="125"/>
  <c r="I49" i="125"/>
  <c r="J48" i="125"/>
  <c r="I48" i="125"/>
  <c r="K48" i="125" s="1"/>
  <c r="J47" i="125"/>
  <c r="I47" i="125"/>
  <c r="J46" i="125"/>
  <c r="I46" i="125"/>
  <c r="K46" i="125" s="1"/>
  <c r="J45" i="125"/>
  <c r="I45" i="125"/>
  <c r="J44" i="125"/>
  <c r="I44" i="125"/>
  <c r="J43" i="125"/>
  <c r="I43" i="125"/>
  <c r="K43" i="125" s="1"/>
  <c r="J42" i="125"/>
  <c r="I42" i="125"/>
  <c r="J41" i="125"/>
  <c r="I41" i="125"/>
  <c r="J40" i="125"/>
  <c r="I40" i="125"/>
  <c r="J39" i="125"/>
  <c r="I39" i="125"/>
  <c r="K39" i="125" s="1"/>
  <c r="J38" i="125"/>
  <c r="I38" i="125"/>
  <c r="J37" i="125"/>
  <c r="K37" i="125" s="1"/>
  <c r="I37" i="125"/>
  <c r="J36" i="125"/>
  <c r="K36" i="125" s="1"/>
  <c r="I36" i="125"/>
  <c r="J35" i="125"/>
  <c r="I35" i="125"/>
  <c r="K35" i="125" s="1"/>
  <c r="J34" i="125"/>
  <c r="K34" i="125" s="1"/>
  <c r="I34" i="125"/>
  <c r="K33" i="125"/>
  <c r="J33" i="125"/>
  <c r="I33" i="125"/>
  <c r="J32" i="125"/>
  <c r="I32" i="125"/>
  <c r="J31" i="125"/>
  <c r="I31" i="125"/>
  <c r="J30" i="125"/>
  <c r="I30" i="125"/>
  <c r="J29" i="125"/>
  <c r="K29" i="125" s="1"/>
  <c r="I29" i="125"/>
  <c r="J28" i="125"/>
  <c r="K28" i="125" s="1"/>
  <c r="I28" i="125"/>
  <c r="J27" i="125"/>
  <c r="I27" i="125"/>
  <c r="K26" i="125"/>
  <c r="J26" i="125"/>
  <c r="I26" i="125"/>
  <c r="K25" i="125"/>
  <c r="J25" i="125"/>
  <c r="I25" i="125"/>
  <c r="J24" i="125"/>
  <c r="I24" i="125"/>
  <c r="J23" i="125"/>
  <c r="I23" i="125"/>
  <c r="J22" i="125"/>
  <c r="I22" i="125"/>
  <c r="J21" i="125"/>
  <c r="I21" i="125"/>
  <c r="J20" i="125"/>
  <c r="K20" i="125" s="1"/>
  <c r="I20" i="125"/>
  <c r="J19" i="125"/>
  <c r="I19" i="125"/>
  <c r="K18" i="125"/>
  <c r="J18" i="125"/>
  <c r="I18" i="125"/>
  <c r="K17" i="125"/>
  <c r="J17" i="125"/>
  <c r="I17" i="125"/>
  <c r="J16" i="125"/>
  <c r="I16" i="125"/>
  <c r="J15" i="125"/>
  <c r="I15" i="125"/>
  <c r="J14" i="125"/>
  <c r="I14" i="125"/>
  <c r="K14" i="125" s="1"/>
  <c r="J13" i="125"/>
  <c r="I13" i="125"/>
  <c r="J12" i="125"/>
  <c r="K12" i="125" s="1"/>
  <c r="I12" i="125"/>
  <c r="J11" i="125"/>
  <c r="I11" i="125"/>
  <c r="J10" i="125"/>
  <c r="I10" i="125"/>
  <c r="K9" i="125"/>
  <c r="J9" i="125"/>
  <c r="I9" i="125"/>
  <c r="J8" i="125"/>
  <c r="I8" i="125"/>
  <c r="K8" i="125" s="1"/>
  <c r="J7" i="125"/>
  <c r="I7" i="125"/>
  <c r="J6" i="125"/>
  <c r="I6" i="125"/>
  <c r="K6" i="125" s="1"/>
  <c r="J5" i="125"/>
  <c r="K5" i="125" s="1"/>
  <c r="I5" i="125"/>
  <c r="I46" i="123"/>
  <c r="J46" i="123"/>
  <c r="K46" i="123"/>
  <c r="I40" i="123"/>
  <c r="K40" i="123" s="1"/>
  <c r="J40" i="123"/>
  <c r="I80" i="123"/>
  <c r="K80" i="123" s="1"/>
  <c r="J80" i="123"/>
  <c r="K43" i="133" l="1"/>
  <c r="K30" i="133"/>
  <c r="K43" i="137"/>
  <c r="K29" i="137"/>
  <c r="K29" i="135"/>
  <c r="K29" i="134"/>
  <c r="K28" i="133"/>
  <c r="K28" i="134"/>
  <c r="K27" i="136"/>
  <c r="K27" i="135"/>
  <c r="K27" i="134"/>
  <c r="K73" i="133"/>
  <c r="K18" i="133"/>
  <c r="K60" i="136"/>
  <c r="K43" i="129"/>
  <c r="K14" i="133"/>
  <c r="K14" i="134"/>
  <c r="K66" i="134"/>
  <c r="K66" i="133"/>
  <c r="K23" i="133"/>
  <c r="K35" i="133"/>
  <c r="K13" i="134"/>
  <c r="K14" i="135"/>
  <c r="K30" i="135"/>
  <c r="K46" i="135"/>
  <c r="K62" i="135"/>
  <c r="K78" i="135"/>
  <c r="K18" i="135"/>
  <c r="K34" i="135"/>
  <c r="K50" i="135"/>
  <c r="K66" i="135"/>
  <c r="K41" i="135"/>
  <c r="K57" i="135"/>
  <c r="K73" i="135"/>
  <c r="K6" i="135"/>
  <c r="K22" i="135"/>
  <c r="K38" i="135"/>
  <c r="K54" i="135"/>
  <c r="K70" i="135"/>
  <c r="K7" i="135"/>
  <c r="K39" i="135"/>
  <c r="K55" i="135"/>
  <c r="K71" i="135"/>
  <c r="K16" i="134"/>
  <c r="K48" i="134"/>
  <c r="K80" i="134"/>
  <c r="K24" i="134"/>
  <c r="K56" i="134"/>
  <c r="K32" i="134"/>
  <c r="K64" i="134"/>
  <c r="K58" i="134"/>
  <c r="K65" i="134"/>
  <c r="K79" i="134"/>
  <c r="K8" i="134"/>
  <c r="K40" i="134"/>
  <c r="K21" i="133"/>
  <c r="K53" i="133"/>
  <c r="K60" i="133"/>
  <c r="K29" i="133"/>
  <c r="K61" i="133"/>
  <c r="K5" i="133"/>
  <c r="K37" i="133"/>
  <c r="K69" i="133"/>
  <c r="K76" i="133"/>
  <c r="K6" i="133"/>
  <c r="K17" i="133"/>
  <c r="K20" i="133"/>
  <c r="K24" i="133"/>
  <c r="K31" i="133"/>
  <c r="K38" i="133"/>
  <c r="K49" i="133"/>
  <c r="K52" i="133"/>
  <c r="K56" i="133"/>
  <c r="K63" i="133"/>
  <c r="K70" i="133"/>
  <c r="K60" i="131"/>
  <c r="K44" i="132"/>
  <c r="K61" i="132"/>
  <c r="K73" i="132"/>
  <c r="K31" i="132"/>
  <c r="K30" i="132"/>
  <c r="K21" i="132"/>
  <c r="K70" i="132"/>
  <c r="K51" i="132"/>
  <c r="K54" i="132"/>
  <c r="K50" i="132"/>
  <c r="K57" i="132"/>
  <c r="K46" i="132"/>
  <c r="K38" i="132"/>
  <c r="K13" i="132"/>
  <c r="K10" i="132"/>
  <c r="K17" i="132"/>
  <c r="K28" i="132"/>
  <c r="K35" i="132"/>
  <c r="K42" i="132"/>
  <c r="K60" i="132"/>
  <c r="K67" i="132"/>
  <c r="K74" i="132"/>
  <c r="K7" i="132"/>
  <c r="K32" i="132"/>
  <c r="K39" i="132"/>
  <c r="K64" i="132"/>
  <c r="K71" i="132"/>
  <c r="K79" i="132"/>
  <c r="K8" i="132"/>
  <c r="K15" i="132"/>
  <c r="K33" i="132"/>
  <c r="K40" i="132"/>
  <c r="K47" i="132"/>
  <c r="K72" i="132"/>
  <c r="K20" i="132"/>
  <c r="K27" i="132"/>
  <c r="K34" i="132"/>
  <c r="K52" i="132"/>
  <c r="K59" i="132"/>
  <c r="K66" i="132"/>
  <c r="K49" i="131"/>
  <c r="K49" i="130"/>
  <c r="K49" i="129"/>
  <c r="K49" i="127"/>
  <c r="K49" i="126"/>
  <c r="K49" i="125"/>
  <c r="K62" i="131"/>
  <c r="K73" i="131"/>
  <c r="K73" i="130"/>
  <c r="K73" i="129"/>
  <c r="K73" i="128"/>
  <c r="K73" i="127"/>
  <c r="K73" i="126"/>
  <c r="K73" i="125"/>
  <c r="K63" i="131"/>
  <c r="K63" i="130"/>
  <c r="K63" i="129"/>
  <c r="K63" i="128"/>
  <c r="K63" i="126"/>
  <c r="K63" i="125"/>
  <c r="K42" i="131"/>
  <c r="K42" i="130"/>
  <c r="K42" i="128"/>
  <c r="K42" i="127"/>
  <c r="K42" i="126"/>
  <c r="K42" i="125"/>
  <c r="K36" i="131"/>
  <c r="K36" i="130"/>
  <c r="K36" i="129"/>
  <c r="K36" i="128"/>
  <c r="K36" i="127"/>
  <c r="K28" i="131"/>
  <c r="K28" i="130"/>
  <c r="K28" i="129"/>
  <c r="K28" i="128"/>
  <c r="K28" i="127"/>
  <c r="K28" i="126"/>
  <c r="K48" i="131"/>
  <c r="K48" i="130"/>
  <c r="K48" i="129"/>
  <c r="K77" i="127"/>
  <c r="K31" i="131"/>
  <c r="K31" i="128"/>
  <c r="K31" i="127"/>
  <c r="K31" i="126"/>
  <c r="K31" i="125"/>
  <c r="K7" i="131"/>
  <c r="K7" i="128"/>
  <c r="K7" i="127"/>
  <c r="K7" i="126"/>
  <c r="K7" i="125"/>
  <c r="K11" i="131"/>
  <c r="K11" i="130"/>
  <c r="K11" i="129"/>
  <c r="K11" i="128"/>
  <c r="K11" i="127"/>
  <c r="K11" i="126"/>
  <c r="K11" i="125"/>
  <c r="K69" i="128"/>
  <c r="K69" i="127"/>
  <c r="K65" i="130"/>
  <c r="K65" i="129"/>
  <c r="K65" i="128"/>
  <c r="K65" i="127"/>
  <c r="K65" i="126"/>
  <c r="K54" i="126"/>
  <c r="K54" i="125"/>
  <c r="K12" i="131"/>
  <c r="K12" i="129"/>
  <c r="K12" i="128"/>
  <c r="K12" i="127"/>
  <c r="K51" i="131"/>
  <c r="K51" i="128"/>
  <c r="K51" i="127"/>
  <c r="K51" i="125"/>
  <c r="K32" i="130"/>
  <c r="K32" i="129"/>
  <c r="K32" i="127"/>
  <c r="K32" i="126"/>
  <c r="K32" i="125"/>
  <c r="K40" i="131"/>
  <c r="K40" i="130"/>
  <c r="K40" i="129"/>
  <c r="K40" i="128"/>
  <c r="K40" i="127"/>
  <c r="K40" i="126"/>
  <c r="K40" i="125"/>
  <c r="K52" i="131"/>
  <c r="K52" i="129"/>
  <c r="K52" i="127"/>
  <c r="K41" i="131"/>
  <c r="K41" i="130"/>
  <c r="K41" i="128"/>
  <c r="K41" i="127"/>
  <c r="K41" i="125"/>
  <c r="K29" i="131"/>
  <c r="K29" i="130"/>
  <c r="K29" i="129"/>
  <c r="K29" i="128"/>
  <c r="K17" i="131"/>
  <c r="K17" i="129"/>
  <c r="K17" i="128"/>
  <c r="K17" i="127"/>
  <c r="K80" i="130"/>
  <c r="K80" i="129"/>
  <c r="K80" i="128"/>
  <c r="K80" i="127"/>
  <c r="K80" i="125"/>
  <c r="K67" i="128"/>
  <c r="K67" i="127"/>
  <c r="K67" i="126"/>
  <c r="K6" i="129"/>
  <c r="K6" i="128"/>
  <c r="K6" i="127"/>
  <c r="K38" i="128"/>
  <c r="K38" i="127"/>
  <c r="K38" i="126"/>
  <c r="K38" i="125"/>
  <c r="K57" i="131"/>
  <c r="K57" i="129"/>
  <c r="K57" i="128"/>
  <c r="K57" i="125"/>
  <c r="K62" i="129"/>
  <c r="K62" i="128"/>
  <c r="K62" i="125"/>
  <c r="K43" i="131"/>
  <c r="K43" i="130"/>
  <c r="K72" i="129"/>
  <c r="K72" i="127"/>
  <c r="K72" i="125"/>
  <c r="K72" i="131"/>
  <c r="K70" i="130"/>
  <c r="K70" i="129"/>
  <c r="K70" i="128"/>
  <c r="K70" i="127"/>
  <c r="K70" i="131"/>
  <c r="K45" i="129"/>
  <c r="K45" i="128"/>
  <c r="K45" i="126"/>
  <c r="K45" i="125"/>
  <c r="K74" i="129"/>
  <c r="K74" i="127"/>
  <c r="K74" i="126"/>
  <c r="K58" i="130"/>
  <c r="K58" i="128"/>
  <c r="K58" i="127"/>
  <c r="K58" i="126"/>
  <c r="K58" i="125"/>
  <c r="K39" i="130"/>
  <c r="K39" i="129"/>
  <c r="K39" i="128"/>
  <c r="K34" i="128"/>
  <c r="K34" i="127"/>
  <c r="K34" i="126"/>
  <c r="K68" i="129"/>
  <c r="K68" i="126"/>
  <c r="K68" i="125"/>
  <c r="K24" i="130"/>
  <c r="K24" i="129"/>
  <c r="K24" i="128"/>
  <c r="K24" i="126"/>
  <c r="K24" i="125"/>
  <c r="K16" i="130"/>
  <c r="K16" i="129"/>
  <c r="K16" i="128"/>
  <c r="K16" i="127"/>
  <c r="K16" i="125"/>
  <c r="K20" i="131"/>
  <c r="K20" i="130"/>
  <c r="K20" i="128"/>
  <c r="K20" i="127"/>
  <c r="K20" i="126"/>
  <c r="K47" i="130"/>
  <c r="K47" i="129"/>
  <c r="K47" i="126"/>
  <c r="K47" i="125"/>
  <c r="K71" i="130"/>
  <c r="K71" i="129"/>
  <c r="K15" i="131"/>
  <c r="K15" i="130"/>
  <c r="K15" i="129"/>
  <c r="K15" i="128"/>
  <c r="K15" i="126"/>
  <c r="K15" i="125"/>
  <c r="K30" i="130"/>
  <c r="K30" i="129"/>
  <c r="K30" i="128"/>
  <c r="K30" i="127"/>
  <c r="K30" i="126"/>
  <c r="K30" i="125"/>
  <c r="K56" i="130"/>
  <c r="K56" i="127"/>
  <c r="K56" i="126"/>
  <c r="K56" i="125"/>
  <c r="K61" i="130"/>
  <c r="K61" i="127"/>
  <c r="K61" i="126"/>
  <c r="K27" i="129"/>
  <c r="K27" i="128"/>
  <c r="K27" i="127"/>
  <c r="K27" i="126"/>
  <c r="K27" i="125"/>
  <c r="K64" i="129"/>
  <c r="K64" i="128"/>
  <c r="K64" i="127"/>
  <c r="K22" i="130"/>
  <c r="K22" i="129"/>
  <c r="K22" i="128"/>
  <c r="K22" i="127"/>
  <c r="K22" i="126"/>
  <c r="K22" i="125"/>
  <c r="K50" i="127"/>
  <c r="K50" i="126"/>
  <c r="K44" i="129"/>
  <c r="K44" i="128"/>
  <c r="K44" i="127"/>
  <c r="K44" i="125"/>
  <c r="K10" i="130"/>
  <c r="K10" i="128"/>
  <c r="K10" i="127"/>
  <c r="K10" i="126"/>
  <c r="K10" i="125"/>
  <c r="K37" i="129"/>
  <c r="K37" i="128"/>
  <c r="K37" i="127"/>
  <c r="K14" i="130"/>
  <c r="K14" i="129"/>
  <c r="K14" i="128"/>
  <c r="K14" i="127"/>
  <c r="K21" i="130"/>
  <c r="K21" i="127"/>
  <c r="K21" i="125"/>
  <c r="K66" i="128"/>
  <c r="K66" i="126"/>
  <c r="K23" i="128"/>
  <c r="K23" i="126"/>
  <c r="K23" i="125"/>
  <c r="K19" i="127"/>
  <c r="K19" i="125"/>
  <c r="K35" i="127"/>
  <c r="K13" i="129"/>
  <c r="K13" i="128"/>
  <c r="K13" i="125"/>
  <c r="K60" i="130"/>
  <c r="K60" i="129"/>
  <c r="J79" i="124"/>
  <c r="I79" i="124"/>
  <c r="K79" i="124" s="1"/>
  <c r="J78" i="124"/>
  <c r="I78" i="124"/>
  <c r="K78" i="124" s="1"/>
  <c r="J77" i="124"/>
  <c r="K77" i="124" s="1"/>
  <c r="I77" i="124"/>
  <c r="J76" i="124"/>
  <c r="K76" i="124" s="1"/>
  <c r="I76" i="124"/>
  <c r="J75" i="124"/>
  <c r="I75" i="124"/>
  <c r="K75" i="124" s="1"/>
  <c r="J74" i="124"/>
  <c r="I74" i="124"/>
  <c r="J73" i="124"/>
  <c r="I73" i="124"/>
  <c r="J72" i="124"/>
  <c r="I72" i="124"/>
  <c r="J71" i="124"/>
  <c r="I71" i="124"/>
  <c r="J70" i="124"/>
  <c r="I70" i="124"/>
  <c r="J69" i="124"/>
  <c r="K69" i="124" s="1"/>
  <c r="I69" i="124"/>
  <c r="J68" i="124"/>
  <c r="I68" i="124"/>
  <c r="J67" i="124"/>
  <c r="I67" i="124"/>
  <c r="K67" i="124" s="1"/>
  <c r="K66" i="124"/>
  <c r="J66" i="124"/>
  <c r="I66" i="124"/>
  <c r="J65" i="124"/>
  <c r="I65" i="124"/>
  <c r="K65" i="124" s="1"/>
  <c r="J64" i="124"/>
  <c r="I64" i="124"/>
  <c r="J63" i="124"/>
  <c r="I63" i="124"/>
  <c r="J62" i="124"/>
  <c r="I62" i="124"/>
  <c r="K62" i="124" s="1"/>
  <c r="J61" i="124"/>
  <c r="K61" i="124" s="1"/>
  <c r="I61" i="124"/>
  <c r="J60" i="124"/>
  <c r="I60" i="124"/>
  <c r="J59" i="124"/>
  <c r="I59" i="124"/>
  <c r="K59" i="124" s="1"/>
  <c r="J58" i="124"/>
  <c r="I58" i="124"/>
  <c r="J57" i="124"/>
  <c r="I57" i="124"/>
  <c r="J56" i="124"/>
  <c r="I56" i="124"/>
  <c r="J55" i="124"/>
  <c r="I55" i="124"/>
  <c r="K55" i="124" s="1"/>
  <c r="J54" i="124"/>
  <c r="K54" i="124" s="1"/>
  <c r="I54" i="124"/>
  <c r="J53" i="124"/>
  <c r="K53" i="124" s="1"/>
  <c r="I53" i="124"/>
  <c r="J52" i="124"/>
  <c r="I52" i="124"/>
  <c r="K52" i="124" s="1"/>
  <c r="J51" i="124"/>
  <c r="I51" i="124"/>
  <c r="K50" i="124"/>
  <c r="J50" i="124"/>
  <c r="I50" i="124"/>
  <c r="J49" i="124"/>
  <c r="I49" i="124"/>
  <c r="J48" i="124"/>
  <c r="I48" i="124"/>
  <c r="K48" i="124" s="1"/>
  <c r="J47" i="124"/>
  <c r="I47" i="124"/>
  <c r="J46" i="124"/>
  <c r="I46" i="124"/>
  <c r="K46" i="124" s="1"/>
  <c r="J45" i="124"/>
  <c r="K45" i="124" s="1"/>
  <c r="I45" i="124"/>
  <c r="J44" i="124"/>
  <c r="I44" i="124"/>
  <c r="K44" i="124" s="1"/>
  <c r="J43" i="124"/>
  <c r="I43" i="124"/>
  <c r="J42" i="124"/>
  <c r="I42" i="124"/>
  <c r="J41" i="124"/>
  <c r="I41" i="124"/>
  <c r="J40" i="124"/>
  <c r="I40" i="124"/>
  <c r="J39" i="124"/>
  <c r="I39" i="124"/>
  <c r="J38" i="124"/>
  <c r="K38" i="124" s="1"/>
  <c r="I38" i="124"/>
  <c r="J37" i="124"/>
  <c r="I37" i="124"/>
  <c r="J36" i="124"/>
  <c r="I36" i="124"/>
  <c r="J35" i="124"/>
  <c r="I35" i="124"/>
  <c r="K35" i="124" s="1"/>
  <c r="K34" i="124"/>
  <c r="J34" i="124"/>
  <c r="I34" i="124"/>
  <c r="J33" i="124"/>
  <c r="I33" i="124"/>
  <c r="K33" i="124" s="1"/>
  <c r="J32" i="124"/>
  <c r="I32" i="124"/>
  <c r="J31" i="124"/>
  <c r="I31" i="124"/>
  <c r="K31" i="124" s="1"/>
  <c r="J30" i="124"/>
  <c r="I30" i="124"/>
  <c r="J29" i="124"/>
  <c r="K29" i="124" s="1"/>
  <c r="I29" i="124"/>
  <c r="J28" i="124"/>
  <c r="I28" i="124"/>
  <c r="J27" i="124"/>
  <c r="I27" i="124"/>
  <c r="K26" i="124"/>
  <c r="J26" i="124"/>
  <c r="I26" i="124"/>
  <c r="J25" i="124"/>
  <c r="I25" i="124"/>
  <c r="J24" i="124"/>
  <c r="I24" i="124"/>
  <c r="J23" i="124"/>
  <c r="I23" i="124"/>
  <c r="K23" i="124" s="1"/>
  <c r="J22" i="124"/>
  <c r="I22" i="124"/>
  <c r="K22" i="124" s="1"/>
  <c r="J21" i="124"/>
  <c r="I21" i="124"/>
  <c r="J20" i="124"/>
  <c r="I20" i="124"/>
  <c r="K20" i="124" s="1"/>
  <c r="J19" i="124"/>
  <c r="I19" i="124"/>
  <c r="K19" i="124" s="1"/>
  <c r="K18" i="124"/>
  <c r="J18" i="124"/>
  <c r="I18" i="124"/>
  <c r="J17" i="124"/>
  <c r="I17" i="124"/>
  <c r="J16" i="124"/>
  <c r="I16" i="124"/>
  <c r="K16" i="124" s="1"/>
  <c r="J15" i="124"/>
  <c r="I15" i="124"/>
  <c r="K15" i="124" s="1"/>
  <c r="K14" i="124"/>
  <c r="J14" i="124"/>
  <c r="I14" i="124"/>
  <c r="J13" i="124"/>
  <c r="K13" i="124" s="1"/>
  <c r="I13" i="124"/>
  <c r="J12" i="124"/>
  <c r="I12" i="124"/>
  <c r="J11" i="124"/>
  <c r="I11" i="124"/>
  <c r="J10" i="124"/>
  <c r="I10" i="124"/>
  <c r="J9" i="124"/>
  <c r="I9" i="124"/>
  <c r="K9" i="124" s="1"/>
  <c r="J8" i="124"/>
  <c r="I8" i="124"/>
  <c r="K8" i="124" s="1"/>
  <c r="J7" i="124"/>
  <c r="I7" i="124"/>
  <c r="K7" i="124" s="1"/>
  <c r="K6" i="124"/>
  <c r="J6" i="124"/>
  <c r="I6" i="124"/>
  <c r="J5" i="124"/>
  <c r="K5" i="124" s="1"/>
  <c r="I5" i="124"/>
  <c r="J79" i="123"/>
  <c r="I79" i="123"/>
  <c r="J78" i="123"/>
  <c r="I78" i="123"/>
  <c r="J77" i="123"/>
  <c r="I77" i="123"/>
  <c r="J76" i="123"/>
  <c r="I76" i="123"/>
  <c r="J75" i="123"/>
  <c r="I75" i="123"/>
  <c r="J74" i="123"/>
  <c r="I74" i="123"/>
  <c r="J73" i="123"/>
  <c r="I73" i="123"/>
  <c r="J72" i="123"/>
  <c r="I72" i="123"/>
  <c r="J71" i="123"/>
  <c r="I71" i="123"/>
  <c r="J70" i="123"/>
  <c r="I70" i="123"/>
  <c r="J69" i="123"/>
  <c r="I69" i="123"/>
  <c r="J68" i="123"/>
  <c r="I68" i="123"/>
  <c r="J67" i="123"/>
  <c r="I67" i="123"/>
  <c r="J66" i="123"/>
  <c r="I66" i="123"/>
  <c r="J65" i="123"/>
  <c r="I65" i="123"/>
  <c r="J64" i="123"/>
  <c r="I64" i="123"/>
  <c r="J63" i="123"/>
  <c r="I63" i="123"/>
  <c r="J62" i="123"/>
  <c r="I62" i="123"/>
  <c r="J61" i="123"/>
  <c r="I61" i="123"/>
  <c r="J60" i="123"/>
  <c r="I60" i="123"/>
  <c r="J59" i="123"/>
  <c r="I59" i="123"/>
  <c r="J58" i="123"/>
  <c r="I58" i="123"/>
  <c r="J57" i="123"/>
  <c r="I57" i="123"/>
  <c r="J56" i="123"/>
  <c r="I56" i="123"/>
  <c r="J55" i="123"/>
  <c r="I55" i="123"/>
  <c r="J54" i="123"/>
  <c r="I54" i="123"/>
  <c r="J53" i="123"/>
  <c r="I53" i="123"/>
  <c r="J52" i="123"/>
  <c r="I52" i="123"/>
  <c r="J51" i="123"/>
  <c r="I51" i="123"/>
  <c r="J50" i="123"/>
  <c r="I50" i="123"/>
  <c r="J49" i="123"/>
  <c r="I49" i="123"/>
  <c r="J48" i="123"/>
  <c r="I48" i="123"/>
  <c r="K48" i="123" s="1"/>
  <c r="J47" i="123"/>
  <c r="I47" i="123"/>
  <c r="J45" i="123"/>
  <c r="I45" i="123"/>
  <c r="J44" i="123"/>
  <c r="I44" i="123"/>
  <c r="J43" i="123"/>
  <c r="I43" i="123"/>
  <c r="J42" i="123"/>
  <c r="I42" i="123"/>
  <c r="J41" i="123"/>
  <c r="I41" i="123"/>
  <c r="J39" i="123"/>
  <c r="I39" i="123"/>
  <c r="J38" i="123"/>
  <c r="I38" i="123"/>
  <c r="J37" i="123"/>
  <c r="I37" i="123"/>
  <c r="J36" i="123"/>
  <c r="I36" i="123"/>
  <c r="J35" i="123"/>
  <c r="I35" i="123"/>
  <c r="J34" i="123"/>
  <c r="I34" i="123"/>
  <c r="J33" i="123"/>
  <c r="I33" i="123"/>
  <c r="K33" i="123" s="1"/>
  <c r="J32" i="123"/>
  <c r="I32" i="123"/>
  <c r="J31" i="123"/>
  <c r="I31" i="123"/>
  <c r="J30" i="123"/>
  <c r="I30" i="123"/>
  <c r="J29" i="123"/>
  <c r="I29" i="123"/>
  <c r="J28" i="123"/>
  <c r="I28" i="123"/>
  <c r="J27" i="123"/>
  <c r="I27" i="123"/>
  <c r="J26" i="123"/>
  <c r="I26" i="123"/>
  <c r="J25" i="123"/>
  <c r="I25" i="123"/>
  <c r="K25" i="123" s="1"/>
  <c r="J24" i="123"/>
  <c r="I24" i="123"/>
  <c r="J23" i="123"/>
  <c r="I23" i="123"/>
  <c r="J22" i="123"/>
  <c r="I22" i="123"/>
  <c r="J21" i="123"/>
  <c r="I21" i="123"/>
  <c r="J20" i="123"/>
  <c r="I20" i="123"/>
  <c r="J19" i="123"/>
  <c r="K19" i="123" s="1"/>
  <c r="I19" i="123"/>
  <c r="J18" i="123"/>
  <c r="I18" i="123"/>
  <c r="J17" i="123"/>
  <c r="I17" i="123"/>
  <c r="K17" i="123" s="1"/>
  <c r="J16" i="123"/>
  <c r="I16" i="123"/>
  <c r="J15" i="123"/>
  <c r="I15" i="123"/>
  <c r="J14" i="123"/>
  <c r="I14" i="123"/>
  <c r="J13" i="123"/>
  <c r="I13" i="123"/>
  <c r="J12" i="123"/>
  <c r="I12" i="123"/>
  <c r="J11" i="123"/>
  <c r="I11" i="123"/>
  <c r="J10" i="123"/>
  <c r="I10" i="123"/>
  <c r="J9" i="123"/>
  <c r="I9" i="123"/>
  <c r="K9" i="123" s="1"/>
  <c r="J8" i="123"/>
  <c r="I8" i="123"/>
  <c r="J7" i="123"/>
  <c r="I7" i="123"/>
  <c r="J6" i="123"/>
  <c r="I6" i="123"/>
  <c r="J5" i="123"/>
  <c r="I5" i="123"/>
  <c r="K5" i="123" s="1"/>
  <c r="J79" i="122"/>
  <c r="I79" i="122"/>
  <c r="K79" i="122" s="1"/>
  <c r="J78" i="122"/>
  <c r="I78" i="122"/>
  <c r="K78" i="122" s="1"/>
  <c r="J77" i="122"/>
  <c r="I77" i="122"/>
  <c r="J76" i="122"/>
  <c r="K76" i="122" s="1"/>
  <c r="I76" i="122"/>
  <c r="J75" i="122"/>
  <c r="K75" i="122" s="1"/>
  <c r="I75" i="122"/>
  <c r="J74" i="122"/>
  <c r="I74" i="122"/>
  <c r="J73" i="122"/>
  <c r="I73" i="122"/>
  <c r="J72" i="122"/>
  <c r="I72" i="122"/>
  <c r="J71" i="122"/>
  <c r="I71" i="122"/>
  <c r="K71" i="122" s="1"/>
  <c r="J70" i="122"/>
  <c r="I70" i="122"/>
  <c r="J69" i="122"/>
  <c r="I69" i="122"/>
  <c r="J68" i="122"/>
  <c r="I68" i="122"/>
  <c r="J67" i="122"/>
  <c r="I67" i="122"/>
  <c r="J66" i="122"/>
  <c r="I66" i="122"/>
  <c r="K66" i="122" s="1"/>
  <c r="K65" i="122"/>
  <c r="J65" i="122"/>
  <c r="I65" i="122"/>
  <c r="J64" i="122"/>
  <c r="I64" i="122"/>
  <c r="J63" i="122"/>
  <c r="I63" i="122"/>
  <c r="J62" i="122"/>
  <c r="I62" i="122"/>
  <c r="K62" i="122" s="1"/>
  <c r="J61" i="122"/>
  <c r="I61" i="122"/>
  <c r="K61" i="122" s="1"/>
  <c r="J60" i="122"/>
  <c r="I60" i="122"/>
  <c r="K60" i="122" s="1"/>
  <c r="J59" i="122"/>
  <c r="I59" i="122"/>
  <c r="K59" i="122" s="1"/>
  <c r="J58" i="122"/>
  <c r="I58" i="122"/>
  <c r="J57" i="122"/>
  <c r="I57" i="122"/>
  <c r="J56" i="122"/>
  <c r="I56" i="122"/>
  <c r="J55" i="122"/>
  <c r="I55" i="122"/>
  <c r="K55" i="122" s="1"/>
  <c r="J54" i="122"/>
  <c r="I54" i="122"/>
  <c r="J53" i="122"/>
  <c r="I53" i="122"/>
  <c r="K53" i="122" s="1"/>
  <c r="J52" i="122"/>
  <c r="I52" i="122"/>
  <c r="K52" i="122" s="1"/>
  <c r="J51" i="122"/>
  <c r="I51" i="122"/>
  <c r="J50" i="122"/>
  <c r="I50" i="122"/>
  <c r="K50" i="122" s="1"/>
  <c r="J49" i="122"/>
  <c r="I49" i="122"/>
  <c r="K49" i="122" s="1"/>
  <c r="J48" i="122"/>
  <c r="I48" i="122"/>
  <c r="K48" i="122" s="1"/>
  <c r="J47" i="122"/>
  <c r="I47" i="122"/>
  <c r="J46" i="122"/>
  <c r="I46" i="122"/>
  <c r="J45" i="122"/>
  <c r="I45" i="122"/>
  <c r="J44" i="122"/>
  <c r="I44" i="122"/>
  <c r="K44" i="122" s="1"/>
  <c r="J43" i="122"/>
  <c r="I43" i="122"/>
  <c r="J42" i="122"/>
  <c r="I42" i="122"/>
  <c r="J41" i="122"/>
  <c r="I41" i="122"/>
  <c r="J40" i="122"/>
  <c r="I40" i="122"/>
  <c r="J39" i="122"/>
  <c r="I39" i="122"/>
  <c r="J38" i="122"/>
  <c r="I38" i="122"/>
  <c r="K38" i="122" s="1"/>
  <c r="J37" i="122"/>
  <c r="I37" i="122"/>
  <c r="J36" i="122"/>
  <c r="I36" i="122"/>
  <c r="J35" i="122"/>
  <c r="I35" i="122"/>
  <c r="K34" i="122"/>
  <c r="J34" i="122"/>
  <c r="I34" i="122"/>
  <c r="J33" i="122"/>
  <c r="I33" i="122"/>
  <c r="K33" i="122" s="1"/>
  <c r="J32" i="122"/>
  <c r="I32" i="122"/>
  <c r="J31" i="122"/>
  <c r="I31" i="122"/>
  <c r="J30" i="122"/>
  <c r="I30" i="122"/>
  <c r="K30" i="122" s="1"/>
  <c r="J29" i="122"/>
  <c r="I29" i="122"/>
  <c r="J28" i="122"/>
  <c r="I28" i="122"/>
  <c r="J27" i="122"/>
  <c r="I27" i="122"/>
  <c r="K26" i="122"/>
  <c r="J26" i="122"/>
  <c r="I26" i="122"/>
  <c r="J25" i="122"/>
  <c r="I25" i="122"/>
  <c r="K25" i="122" s="1"/>
  <c r="J24" i="122"/>
  <c r="I24" i="122"/>
  <c r="J23" i="122"/>
  <c r="I23" i="122"/>
  <c r="J22" i="122"/>
  <c r="I22" i="122"/>
  <c r="J21" i="122"/>
  <c r="I21" i="122"/>
  <c r="J20" i="122"/>
  <c r="I20" i="122"/>
  <c r="J19" i="122"/>
  <c r="I19" i="122"/>
  <c r="K19" i="122" s="1"/>
  <c r="K18" i="122"/>
  <c r="J18" i="122"/>
  <c r="I18" i="122"/>
  <c r="J17" i="122"/>
  <c r="I17" i="122"/>
  <c r="J16" i="122"/>
  <c r="I16" i="122"/>
  <c r="K16" i="122" s="1"/>
  <c r="J15" i="122"/>
  <c r="I15" i="122"/>
  <c r="K15" i="122" s="1"/>
  <c r="J14" i="122"/>
  <c r="I14" i="122"/>
  <c r="K14" i="122" s="1"/>
  <c r="J13" i="122"/>
  <c r="I13" i="122"/>
  <c r="K13" i="122" s="1"/>
  <c r="J12" i="122"/>
  <c r="I12" i="122"/>
  <c r="J11" i="122"/>
  <c r="I11" i="122"/>
  <c r="J10" i="122"/>
  <c r="I10" i="122"/>
  <c r="K10" i="122" s="1"/>
  <c r="K9" i="122"/>
  <c r="J9" i="122"/>
  <c r="I9" i="122"/>
  <c r="J8" i="122"/>
  <c r="I8" i="122"/>
  <c r="K8" i="122" s="1"/>
  <c r="J7" i="122"/>
  <c r="I7" i="122"/>
  <c r="K7" i="122" s="1"/>
  <c r="J6" i="122"/>
  <c r="I6" i="122"/>
  <c r="J5" i="122"/>
  <c r="I5" i="122"/>
  <c r="K5" i="122" s="1"/>
  <c r="J79" i="121"/>
  <c r="I79" i="121"/>
  <c r="K79" i="121" s="1"/>
  <c r="J78" i="121"/>
  <c r="I78" i="121"/>
  <c r="K78" i="121" s="1"/>
  <c r="J77" i="121"/>
  <c r="I77" i="121"/>
  <c r="J76" i="121"/>
  <c r="I76" i="121"/>
  <c r="J75" i="121"/>
  <c r="I75" i="121"/>
  <c r="J74" i="121"/>
  <c r="I74" i="121"/>
  <c r="K74" i="121" s="1"/>
  <c r="J73" i="121"/>
  <c r="I73" i="121"/>
  <c r="J72" i="121"/>
  <c r="I72" i="121"/>
  <c r="K72" i="121" s="1"/>
  <c r="J71" i="121"/>
  <c r="I71" i="121"/>
  <c r="J70" i="121"/>
  <c r="I70" i="121"/>
  <c r="J69" i="121"/>
  <c r="I69" i="121"/>
  <c r="J68" i="121"/>
  <c r="I68" i="121"/>
  <c r="J67" i="121"/>
  <c r="I67" i="121"/>
  <c r="J66" i="121"/>
  <c r="I66" i="121"/>
  <c r="K66" i="121" s="1"/>
  <c r="J65" i="121"/>
  <c r="I65" i="121"/>
  <c r="J64" i="121"/>
  <c r="K64" i="121" s="1"/>
  <c r="I64" i="121"/>
  <c r="J63" i="121"/>
  <c r="I63" i="121"/>
  <c r="J62" i="121"/>
  <c r="I62" i="121"/>
  <c r="J61" i="121"/>
  <c r="I61" i="121"/>
  <c r="J60" i="121"/>
  <c r="K60" i="121" s="1"/>
  <c r="I60" i="121"/>
  <c r="J59" i="121"/>
  <c r="K59" i="121" s="1"/>
  <c r="I59" i="121"/>
  <c r="J58" i="121"/>
  <c r="I58" i="121"/>
  <c r="J57" i="121"/>
  <c r="I57" i="121"/>
  <c r="J56" i="121"/>
  <c r="I56" i="121"/>
  <c r="J55" i="121"/>
  <c r="I55" i="121"/>
  <c r="J54" i="121"/>
  <c r="I54" i="121"/>
  <c r="J53" i="121"/>
  <c r="I53" i="121"/>
  <c r="K53" i="121" s="1"/>
  <c r="J52" i="121"/>
  <c r="I52" i="121"/>
  <c r="J51" i="121"/>
  <c r="K51" i="121" s="1"/>
  <c r="I51" i="121"/>
  <c r="J50" i="121"/>
  <c r="I50" i="121"/>
  <c r="J49" i="121"/>
  <c r="I49" i="121"/>
  <c r="J48" i="121"/>
  <c r="I48" i="121"/>
  <c r="K48" i="121" s="1"/>
  <c r="J47" i="121"/>
  <c r="I47" i="121"/>
  <c r="K47" i="121" s="1"/>
  <c r="J46" i="121"/>
  <c r="I46" i="121"/>
  <c r="J45" i="121"/>
  <c r="I45" i="121"/>
  <c r="J44" i="121"/>
  <c r="I44" i="121"/>
  <c r="J43" i="121"/>
  <c r="I43" i="121"/>
  <c r="J42" i="121"/>
  <c r="I42" i="121"/>
  <c r="K42" i="121" s="1"/>
  <c r="J41" i="121"/>
  <c r="I41" i="121"/>
  <c r="J40" i="121"/>
  <c r="I40" i="121"/>
  <c r="J39" i="121"/>
  <c r="I39" i="121"/>
  <c r="J38" i="121"/>
  <c r="I38" i="121"/>
  <c r="J37" i="121"/>
  <c r="I37" i="121"/>
  <c r="K37" i="121" s="1"/>
  <c r="J36" i="121"/>
  <c r="I36" i="121"/>
  <c r="J35" i="121"/>
  <c r="I35" i="121"/>
  <c r="J34" i="121"/>
  <c r="I34" i="121"/>
  <c r="K34" i="121" s="1"/>
  <c r="J33" i="121"/>
  <c r="I33" i="121"/>
  <c r="K33" i="121" s="1"/>
  <c r="J32" i="121"/>
  <c r="I32" i="121"/>
  <c r="J31" i="121"/>
  <c r="I31" i="121"/>
  <c r="J30" i="121"/>
  <c r="I30" i="121"/>
  <c r="J29" i="121"/>
  <c r="I29" i="121"/>
  <c r="J28" i="121"/>
  <c r="I28" i="121"/>
  <c r="K28" i="121" s="1"/>
  <c r="J27" i="121"/>
  <c r="I27" i="121"/>
  <c r="J26" i="121"/>
  <c r="I26" i="121"/>
  <c r="J25" i="121"/>
  <c r="I25" i="121"/>
  <c r="J24" i="121"/>
  <c r="K24" i="121" s="1"/>
  <c r="I24" i="121"/>
  <c r="J23" i="121"/>
  <c r="I23" i="121"/>
  <c r="J22" i="121"/>
  <c r="I22" i="121"/>
  <c r="J21" i="121"/>
  <c r="K21" i="121" s="1"/>
  <c r="I21" i="121"/>
  <c r="J20" i="121"/>
  <c r="I20" i="121"/>
  <c r="J19" i="121"/>
  <c r="I19" i="121"/>
  <c r="J18" i="121"/>
  <c r="I18" i="121"/>
  <c r="K18" i="121" s="1"/>
  <c r="J17" i="121"/>
  <c r="I17" i="121"/>
  <c r="J16" i="121"/>
  <c r="I16" i="121"/>
  <c r="K16" i="121" s="1"/>
  <c r="J15" i="121"/>
  <c r="I15" i="121"/>
  <c r="J14" i="121"/>
  <c r="I14" i="121"/>
  <c r="J13" i="121"/>
  <c r="I13" i="121"/>
  <c r="J12" i="121"/>
  <c r="I12" i="121"/>
  <c r="J11" i="121"/>
  <c r="I11" i="121"/>
  <c r="J10" i="121"/>
  <c r="I10" i="121"/>
  <c r="J9" i="121"/>
  <c r="I9" i="121"/>
  <c r="K9" i="121" s="1"/>
  <c r="J8" i="121"/>
  <c r="I8" i="121"/>
  <c r="K8" i="121" s="1"/>
  <c r="J7" i="121"/>
  <c r="I7" i="121"/>
  <c r="J6" i="121"/>
  <c r="I6" i="121"/>
  <c r="J5" i="121"/>
  <c r="I5" i="121"/>
  <c r="J79" i="120"/>
  <c r="I79" i="120"/>
  <c r="K79" i="120" s="1"/>
  <c r="J78" i="120"/>
  <c r="I78" i="120"/>
  <c r="K78" i="120" s="1"/>
  <c r="J77" i="120"/>
  <c r="I77" i="120"/>
  <c r="J76" i="120"/>
  <c r="K76" i="120" s="1"/>
  <c r="I76" i="120"/>
  <c r="J75" i="120"/>
  <c r="K75" i="120" s="1"/>
  <c r="I75" i="120"/>
  <c r="J74" i="120"/>
  <c r="I74" i="120"/>
  <c r="J73" i="120"/>
  <c r="I73" i="120"/>
  <c r="K73" i="120" s="1"/>
  <c r="J72" i="120"/>
  <c r="I72" i="120"/>
  <c r="J71" i="120"/>
  <c r="I71" i="120"/>
  <c r="J70" i="120"/>
  <c r="I70" i="120"/>
  <c r="J69" i="120"/>
  <c r="I69" i="120"/>
  <c r="J68" i="120"/>
  <c r="K68" i="120" s="1"/>
  <c r="I68" i="120"/>
  <c r="J67" i="120"/>
  <c r="I67" i="120"/>
  <c r="J66" i="120"/>
  <c r="I66" i="120"/>
  <c r="J65" i="120"/>
  <c r="I65" i="120"/>
  <c r="K65" i="120" s="1"/>
  <c r="J64" i="120"/>
  <c r="K64" i="120" s="1"/>
  <c r="I64" i="120"/>
  <c r="J63" i="120"/>
  <c r="I63" i="120"/>
  <c r="K63" i="120" s="1"/>
  <c r="J62" i="120"/>
  <c r="I62" i="120"/>
  <c r="K62" i="120" s="1"/>
  <c r="J61" i="120"/>
  <c r="I61" i="120"/>
  <c r="K61" i="120" s="1"/>
  <c r="J60" i="120"/>
  <c r="I60" i="120"/>
  <c r="J59" i="120"/>
  <c r="K59" i="120" s="1"/>
  <c r="I59" i="120"/>
  <c r="J58" i="120"/>
  <c r="I58" i="120"/>
  <c r="J57" i="120"/>
  <c r="I57" i="120"/>
  <c r="K57" i="120" s="1"/>
  <c r="K56" i="120"/>
  <c r="J56" i="120"/>
  <c r="I56" i="120"/>
  <c r="K55" i="120"/>
  <c r="J55" i="120"/>
  <c r="I55" i="120"/>
  <c r="J54" i="120"/>
  <c r="I54" i="120"/>
  <c r="K54" i="120" s="1"/>
  <c r="J53" i="120"/>
  <c r="I53" i="120"/>
  <c r="K53" i="120" s="1"/>
  <c r="J52" i="120"/>
  <c r="I52" i="120"/>
  <c r="K52" i="120" s="1"/>
  <c r="J51" i="120"/>
  <c r="K51" i="120" s="1"/>
  <c r="I51" i="120"/>
  <c r="K50" i="120"/>
  <c r="J50" i="120"/>
  <c r="I50" i="120"/>
  <c r="J49" i="120"/>
  <c r="I49" i="120"/>
  <c r="K49" i="120" s="1"/>
  <c r="K48" i="120"/>
  <c r="J48" i="120"/>
  <c r="I48" i="120"/>
  <c r="K47" i="120"/>
  <c r="J47" i="120"/>
  <c r="I47" i="120"/>
  <c r="J46" i="120"/>
  <c r="I46" i="120"/>
  <c r="K46" i="120" s="1"/>
  <c r="J45" i="120"/>
  <c r="I45" i="120"/>
  <c r="J44" i="120"/>
  <c r="I44" i="120"/>
  <c r="K44" i="120" s="1"/>
  <c r="J43" i="120"/>
  <c r="K43" i="120" s="1"/>
  <c r="I43" i="120"/>
  <c r="J42" i="120"/>
  <c r="K42" i="120" s="1"/>
  <c r="I42" i="120"/>
  <c r="J41" i="120"/>
  <c r="I41" i="120"/>
  <c r="K41" i="120" s="1"/>
  <c r="J40" i="120"/>
  <c r="I40" i="120"/>
  <c r="K39" i="120"/>
  <c r="J39" i="120"/>
  <c r="I39" i="120"/>
  <c r="J38" i="120"/>
  <c r="I38" i="120"/>
  <c r="J37" i="120"/>
  <c r="I37" i="120"/>
  <c r="J36" i="120"/>
  <c r="I36" i="120"/>
  <c r="K36" i="120" s="1"/>
  <c r="J35" i="120"/>
  <c r="K35" i="120" s="1"/>
  <c r="I35" i="120"/>
  <c r="K34" i="120"/>
  <c r="J34" i="120"/>
  <c r="I34" i="120"/>
  <c r="J33" i="120"/>
  <c r="I33" i="120"/>
  <c r="K32" i="120"/>
  <c r="J32" i="120"/>
  <c r="I32" i="120"/>
  <c r="J31" i="120"/>
  <c r="I31" i="120"/>
  <c r="J30" i="120"/>
  <c r="I30" i="120"/>
  <c r="J29" i="120"/>
  <c r="I29" i="120"/>
  <c r="K29" i="120" s="1"/>
  <c r="J28" i="120"/>
  <c r="I28" i="120"/>
  <c r="K28" i="120" s="1"/>
  <c r="J27" i="120"/>
  <c r="K27" i="120" s="1"/>
  <c r="I27" i="120"/>
  <c r="K26" i="120"/>
  <c r="J26" i="120"/>
  <c r="I26" i="120"/>
  <c r="J25" i="120"/>
  <c r="I25" i="120"/>
  <c r="K24" i="120"/>
  <c r="J24" i="120"/>
  <c r="I24" i="120"/>
  <c r="J23" i="120"/>
  <c r="I23" i="120"/>
  <c r="J22" i="120"/>
  <c r="I22" i="120"/>
  <c r="K22" i="120" s="1"/>
  <c r="J21" i="120"/>
  <c r="I21" i="120"/>
  <c r="J20" i="120"/>
  <c r="I20" i="120"/>
  <c r="J19" i="120"/>
  <c r="K19" i="120" s="1"/>
  <c r="I19" i="120"/>
  <c r="K18" i="120"/>
  <c r="J18" i="120"/>
  <c r="I18" i="120"/>
  <c r="J17" i="120"/>
  <c r="I17" i="120"/>
  <c r="K17" i="120" s="1"/>
  <c r="K16" i="120"/>
  <c r="J16" i="120"/>
  <c r="I16" i="120"/>
  <c r="J15" i="120"/>
  <c r="I15" i="120"/>
  <c r="K15" i="120" s="1"/>
  <c r="J14" i="120"/>
  <c r="I14" i="120"/>
  <c r="J13" i="120"/>
  <c r="I13" i="120"/>
  <c r="K13" i="120" s="1"/>
  <c r="J12" i="120"/>
  <c r="I12" i="120"/>
  <c r="J11" i="120"/>
  <c r="I11" i="120"/>
  <c r="J10" i="120"/>
  <c r="I10" i="120"/>
  <c r="K10" i="120" s="1"/>
  <c r="J9" i="120"/>
  <c r="I9" i="120"/>
  <c r="K9" i="120" s="1"/>
  <c r="K8" i="120"/>
  <c r="J8" i="120"/>
  <c r="I8" i="120"/>
  <c r="K7" i="120"/>
  <c r="J7" i="120"/>
  <c r="I7" i="120"/>
  <c r="J6" i="120"/>
  <c r="I6" i="120"/>
  <c r="K6" i="120" s="1"/>
  <c r="J5" i="120"/>
  <c r="I5" i="120"/>
  <c r="K5" i="120" s="1"/>
  <c r="J79" i="119"/>
  <c r="I79" i="119"/>
  <c r="K79" i="119" s="1"/>
  <c r="J78" i="119"/>
  <c r="I78" i="119"/>
  <c r="K78" i="119" s="1"/>
  <c r="J77" i="119"/>
  <c r="I77" i="119"/>
  <c r="K76" i="119"/>
  <c r="J76" i="119"/>
  <c r="I76" i="119"/>
  <c r="K75" i="119"/>
  <c r="J75" i="119"/>
  <c r="I75" i="119"/>
  <c r="J74" i="119"/>
  <c r="I74" i="119"/>
  <c r="J73" i="119"/>
  <c r="I73" i="119"/>
  <c r="J72" i="119"/>
  <c r="I72" i="119"/>
  <c r="J71" i="119"/>
  <c r="K71" i="119" s="1"/>
  <c r="I71" i="119"/>
  <c r="J70" i="119"/>
  <c r="I70" i="119"/>
  <c r="J69" i="119"/>
  <c r="I69" i="119"/>
  <c r="J68" i="119"/>
  <c r="I68" i="119"/>
  <c r="J67" i="119"/>
  <c r="I67" i="119"/>
  <c r="J66" i="119"/>
  <c r="I66" i="119"/>
  <c r="J65" i="119"/>
  <c r="I65" i="119"/>
  <c r="J64" i="119"/>
  <c r="I64" i="119"/>
  <c r="K64" i="119" s="1"/>
  <c r="J63" i="119"/>
  <c r="K63" i="119" s="1"/>
  <c r="I63" i="119"/>
  <c r="J62" i="119"/>
  <c r="I62" i="119"/>
  <c r="K62" i="119" s="1"/>
  <c r="J61" i="119"/>
  <c r="I61" i="119"/>
  <c r="K61" i="119" s="1"/>
  <c r="K60" i="119"/>
  <c r="J60" i="119"/>
  <c r="I60" i="119"/>
  <c r="J59" i="119"/>
  <c r="K59" i="119" s="1"/>
  <c r="I59" i="119"/>
  <c r="J58" i="119"/>
  <c r="I58" i="119"/>
  <c r="J57" i="119"/>
  <c r="I57" i="119"/>
  <c r="K57" i="119" s="1"/>
  <c r="K56" i="119"/>
  <c r="J56" i="119"/>
  <c r="I56" i="119"/>
  <c r="J55" i="119"/>
  <c r="K55" i="119" s="1"/>
  <c r="I55" i="119"/>
  <c r="J54" i="119"/>
  <c r="I54" i="119"/>
  <c r="K54" i="119" s="1"/>
  <c r="J53" i="119"/>
  <c r="I53" i="119"/>
  <c r="K53" i="119" s="1"/>
  <c r="K52" i="119"/>
  <c r="J52" i="119"/>
  <c r="I52" i="119"/>
  <c r="J51" i="119"/>
  <c r="K51" i="119" s="1"/>
  <c r="I51" i="119"/>
  <c r="J50" i="119"/>
  <c r="I50" i="119"/>
  <c r="K50" i="119" s="1"/>
  <c r="J49" i="119"/>
  <c r="I49" i="119"/>
  <c r="K49" i="119" s="1"/>
  <c r="K48" i="119"/>
  <c r="J48" i="119"/>
  <c r="I48" i="119"/>
  <c r="J47" i="119"/>
  <c r="K47" i="119" s="1"/>
  <c r="I47" i="119"/>
  <c r="J46" i="119"/>
  <c r="I46" i="119"/>
  <c r="K46" i="119" s="1"/>
  <c r="J45" i="119"/>
  <c r="I45" i="119"/>
  <c r="K44" i="119"/>
  <c r="J44" i="119"/>
  <c r="I44" i="119"/>
  <c r="J43" i="119"/>
  <c r="I43" i="119"/>
  <c r="J42" i="119"/>
  <c r="I42" i="119"/>
  <c r="J41" i="119"/>
  <c r="I41" i="119"/>
  <c r="K41" i="119" s="1"/>
  <c r="J40" i="119"/>
  <c r="I40" i="119"/>
  <c r="J39" i="119"/>
  <c r="K39" i="119" s="1"/>
  <c r="I39" i="119"/>
  <c r="J38" i="119"/>
  <c r="I38" i="119"/>
  <c r="K38" i="119" s="1"/>
  <c r="J37" i="119"/>
  <c r="I37" i="119"/>
  <c r="K36" i="119"/>
  <c r="J36" i="119"/>
  <c r="I36" i="119"/>
  <c r="J35" i="119"/>
  <c r="K35" i="119" s="1"/>
  <c r="I35" i="119"/>
  <c r="J34" i="119"/>
  <c r="I34" i="119"/>
  <c r="K34" i="119" s="1"/>
  <c r="J33" i="119"/>
  <c r="I33" i="119"/>
  <c r="K33" i="119" s="1"/>
  <c r="K32" i="119"/>
  <c r="J32" i="119"/>
  <c r="I32" i="119"/>
  <c r="J31" i="119"/>
  <c r="I31" i="119"/>
  <c r="J30" i="119"/>
  <c r="I30" i="119"/>
  <c r="J29" i="119"/>
  <c r="I29" i="119"/>
  <c r="K29" i="119" s="1"/>
  <c r="K28" i="119"/>
  <c r="J28" i="119"/>
  <c r="I28" i="119"/>
  <c r="J27" i="119"/>
  <c r="K27" i="119" s="1"/>
  <c r="I27" i="119"/>
  <c r="J26" i="119"/>
  <c r="I26" i="119"/>
  <c r="K26" i="119" s="1"/>
  <c r="J25" i="119"/>
  <c r="I25" i="119"/>
  <c r="J24" i="119"/>
  <c r="I24" i="119"/>
  <c r="J23" i="119"/>
  <c r="I23" i="119"/>
  <c r="J22" i="119"/>
  <c r="I22" i="119"/>
  <c r="K22" i="119" s="1"/>
  <c r="J21" i="119"/>
  <c r="I21" i="119"/>
  <c r="J20" i="119"/>
  <c r="I20" i="119"/>
  <c r="J19" i="119"/>
  <c r="K19" i="119" s="1"/>
  <c r="I19" i="119"/>
  <c r="J18" i="119"/>
  <c r="I18" i="119"/>
  <c r="K18" i="119" s="1"/>
  <c r="J17" i="119"/>
  <c r="I17" i="119"/>
  <c r="K17" i="119" s="1"/>
  <c r="K16" i="119"/>
  <c r="J16" i="119"/>
  <c r="I16" i="119"/>
  <c r="J15" i="119"/>
  <c r="K15" i="119" s="1"/>
  <c r="I15" i="119"/>
  <c r="J14" i="119"/>
  <c r="I14" i="119"/>
  <c r="J13" i="119"/>
  <c r="I13" i="119"/>
  <c r="K13" i="119" s="1"/>
  <c r="J12" i="119"/>
  <c r="I12" i="119"/>
  <c r="J11" i="119"/>
  <c r="K11" i="119" s="1"/>
  <c r="I11" i="119"/>
  <c r="J10" i="119"/>
  <c r="I10" i="119"/>
  <c r="J9" i="119"/>
  <c r="I9" i="119"/>
  <c r="K9" i="119" s="1"/>
  <c r="K8" i="119"/>
  <c r="J8" i="119"/>
  <c r="I8" i="119"/>
  <c r="J7" i="119"/>
  <c r="K7" i="119" s="1"/>
  <c r="I7" i="119"/>
  <c r="J6" i="119"/>
  <c r="I6" i="119"/>
  <c r="J5" i="119"/>
  <c r="I5" i="119"/>
  <c r="K5" i="119" s="1"/>
  <c r="J79" i="118"/>
  <c r="K79" i="118" s="1"/>
  <c r="I79" i="118"/>
  <c r="J78" i="118"/>
  <c r="I78" i="118"/>
  <c r="K78" i="118" s="1"/>
  <c r="J77" i="118"/>
  <c r="I77" i="118"/>
  <c r="K76" i="118"/>
  <c r="J76" i="118"/>
  <c r="I76" i="118"/>
  <c r="J75" i="118"/>
  <c r="K75" i="118" s="1"/>
  <c r="I75" i="118"/>
  <c r="J74" i="118"/>
  <c r="K74" i="118" s="1"/>
  <c r="I74" i="118"/>
  <c r="J73" i="118"/>
  <c r="I73" i="118"/>
  <c r="K73" i="118" s="1"/>
  <c r="J72" i="118"/>
  <c r="I72" i="118"/>
  <c r="J71" i="118"/>
  <c r="K71" i="118" s="1"/>
  <c r="I71" i="118"/>
  <c r="J70" i="118"/>
  <c r="I70" i="118"/>
  <c r="K70" i="118" s="1"/>
  <c r="J69" i="118"/>
  <c r="I69" i="118"/>
  <c r="J68" i="118"/>
  <c r="I68" i="118"/>
  <c r="K68" i="118" s="1"/>
  <c r="J67" i="118"/>
  <c r="K67" i="118" s="1"/>
  <c r="I67" i="118"/>
  <c r="J66" i="118"/>
  <c r="I66" i="118"/>
  <c r="J65" i="118"/>
  <c r="I65" i="118"/>
  <c r="K65" i="118" s="1"/>
  <c r="J64" i="118"/>
  <c r="I64" i="118"/>
  <c r="K64" i="118" s="1"/>
  <c r="J63" i="118"/>
  <c r="K63" i="118" s="1"/>
  <c r="I63" i="118"/>
  <c r="J62" i="118"/>
  <c r="I62" i="118"/>
  <c r="K62" i="118" s="1"/>
  <c r="J61" i="118"/>
  <c r="I61" i="118"/>
  <c r="K61" i="118" s="1"/>
  <c r="J60" i="118"/>
  <c r="I60" i="118"/>
  <c r="K60" i="118" s="1"/>
  <c r="J59" i="118"/>
  <c r="K59" i="118" s="1"/>
  <c r="I59" i="118"/>
  <c r="K58" i="118"/>
  <c r="J58" i="118"/>
  <c r="I58" i="118"/>
  <c r="J57" i="118"/>
  <c r="I57" i="118"/>
  <c r="J56" i="118"/>
  <c r="I56" i="118"/>
  <c r="K56" i="118" s="1"/>
  <c r="J55" i="118"/>
  <c r="K55" i="118" s="1"/>
  <c r="I55" i="118"/>
  <c r="J54" i="118"/>
  <c r="I54" i="118"/>
  <c r="J53" i="118"/>
  <c r="I53" i="118"/>
  <c r="K53" i="118" s="1"/>
  <c r="J52" i="118"/>
  <c r="I52" i="118"/>
  <c r="J51" i="118"/>
  <c r="K51" i="118" s="1"/>
  <c r="I51" i="118"/>
  <c r="J50" i="118"/>
  <c r="I50" i="118"/>
  <c r="J49" i="118"/>
  <c r="I49" i="118"/>
  <c r="J48" i="118"/>
  <c r="I48" i="118"/>
  <c r="J47" i="118"/>
  <c r="K47" i="118" s="1"/>
  <c r="I47" i="118"/>
  <c r="J46" i="118"/>
  <c r="I46" i="118"/>
  <c r="J45" i="118"/>
  <c r="I45" i="118"/>
  <c r="K45" i="118" s="1"/>
  <c r="J44" i="118"/>
  <c r="I44" i="118"/>
  <c r="J43" i="118"/>
  <c r="K43" i="118" s="1"/>
  <c r="I43" i="118"/>
  <c r="K42" i="118"/>
  <c r="J42" i="118"/>
  <c r="I42" i="118"/>
  <c r="J41" i="118"/>
  <c r="I41" i="118"/>
  <c r="K41" i="118" s="1"/>
  <c r="J40" i="118"/>
  <c r="I40" i="118"/>
  <c r="K40" i="118" s="1"/>
  <c r="J39" i="118"/>
  <c r="K39" i="118" s="1"/>
  <c r="I39" i="118"/>
  <c r="J38" i="118"/>
  <c r="I38" i="118"/>
  <c r="J37" i="118"/>
  <c r="I37" i="118"/>
  <c r="K37" i="118" s="1"/>
  <c r="J36" i="118"/>
  <c r="I36" i="118"/>
  <c r="J35" i="118"/>
  <c r="I35" i="118"/>
  <c r="K34" i="118"/>
  <c r="J34" i="118"/>
  <c r="I34" i="118"/>
  <c r="J33" i="118"/>
  <c r="I33" i="118"/>
  <c r="K33" i="118" s="1"/>
  <c r="J32" i="118"/>
  <c r="I32" i="118"/>
  <c r="J31" i="118"/>
  <c r="K31" i="118" s="1"/>
  <c r="I31" i="118"/>
  <c r="J30" i="118"/>
  <c r="I30" i="118"/>
  <c r="K30" i="118" s="1"/>
  <c r="J29" i="118"/>
  <c r="I29" i="118"/>
  <c r="K29" i="118" s="1"/>
  <c r="J28" i="118"/>
  <c r="K28" i="118" s="1"/>
  <c r="I28" i="118"/>
  <c r="J27" i="118"/>
  <c r="I27" i="118"/>
  <c r="J26" i="118"/>
  <c r="I26" i="118"/>
  <c r="K26" i="118" s="1"/>
  <c r="J25" i="118"/>
  <c r="I25" i="118"/>
  <c r="K25" i="118" s="1"/>
  <c r="J24" i="118"/>
  <c r="I24" i="118"/>
  <c r="J23" i="118"/>
  <c r="I23" i="118"/>
  <c r="J22" i="118"/>
  <c r="I22" i="118"/>
  <c r="K22" i="118" s="1"/>
  <c r="J21" i="118"/>
  <c r="I21" i="118"/>
  <c r="K21" i="118" s="1"/>
  <c r="K20" i="118"/>
  <c r="J20" i="118"/>
  <c r="I20" i="118"/>
  <c r="J19" i="118"/>
  <c r="K19" i="118" s="1"/>
  <c r="I19" i="118"/>
  <c r="J18" i="118"/>
  <c r="I18" i="118"/>
  <c r="K18" i="118" s="1"/>
  <c r="J17" i="118"/>
  <c r="I17" i="118"/>
  <c r="J16" i="118"/>
  <c r="I16" i="118"/>
  <c r="J15" i="118"/>
  <c r="I15" i="118"/>
  <c r="J14" i="118"/>
  <c r="I14" i="118"/>
  <c r="K14" i="118" s="1"/>
  <c r="J13" i="118"/>
  <c r="I13" i="118"/>
  <c r="K13" i="118" s="1"/>
  <c r="J12" i="118"/>
  <c r="I12" i="118"/>
  <c r="J11" i="118"/>
  <c r="K11" i="118" s="1"/>
  <c r="I11" i="118"/>
  <c r="J10" i="118"/>
  <c r="I10" i="118"/>
  <c r="J9" i="118"/>
  <c r="I9" i="118"/>
  <c r="K9" i="118" s="1"/>
  <c r="J8" i="118"/>
  <c r="I8" i="118"/>
  <c r="K8" i="118" s="1"/>
  <c r="J7" i="118"/>
  <c r="I7" i="118"/>
  <c r="J6" i="118"/>
  <c r="I6" i="118"/>
  <c r="J5" i="118"/>
  <c r="I5" i="118"/>
  <c r="K5" i="118" s="1"/>
  <c r="J79" i="117"/>
  <c r="I79" i="117"/>
  <c r="K79" i="117" s="1"/>
  <c r="J78" i="117"/>
  <c r="I78" i="117"/>
  <c r="K78" i="117" s="1"/>
  <c r="J77" i="117"/>
  <c r="I77" i="117"/>
  <c r="J76" i="117"/>
  <c r="I76" i="117"/>
  <c r="K76" i="117" s="1"/>
  <c r="J75" i="117"/>
  <c r="K75" i="117" s="1"/>
  <c r="I75" i="117"/>
  <c r="K74" i="117"/>
  <c r="J74" i="117"/>
  <c r="I74" i="117"/>
  <c r="J73" i="117"/>
  <c r="I73" i="117"/>
  <c r="K73" i="117" s="1"/>
  <c r="J72" i="117"/>
  <c r="I72" i="117"/>
  <c r="J71" i="117"/>
  <c r="I71" i="117"/>
  <c r="K71" i="117" s="1"/>
  <c r="J70" i="117"/>
  <c r="I70" i="117"/>
  <c r="K70" i="117" s="1"/>
  <c r="J69" i="117"/>
  <c r="I69" i="117"/>
  <c r="J68" i="117"/>
  <c r="I68" i="117"/>
  <c r="K68" i="117" s="1"/>
  <c r="J67" i="117"/>
  <c r="I67" i="117"/>
  <c r="K66" i="117"/>
  <c r="J66" i="117"/>
  <c r="I66" i="117"/>
  <c r="J65" i="117"/>
  <c r="I65" i="117"/>
  <c r="J64" i="117"/>
  <c r="I64" i="117"/>
  <c r="K64" i="117" s="1"/>
  <c r="J63" i="117"/>
  <c r="I63" i="117"/>
  <c r="J62" i="117"/>
  <c r="I62" i="117"/>
  <c r="K62" i="117" s="1"/>
  <c r="J61" i="117"/>
  <c r="I61" i="117"/>
  <c r="K61" i="117" s="1"/>
  <c r="J60" i="117"/>
  <c r="I60" i="117"/>
  <c r="K60" i="117" s="1"/>
  <c r="J59" i="117"/>
  <c r="K59" i="117" s="1"/>
  <c r="I59" i="117"/>
  <c r="K58" i="117"/>
  <c r="J58" i="117"/>
  <c r="I58" i="117"/>
  <c r="J57" i="117"/>
  <c r="I57" i="117"/>
  <c r="J56" i="117"/>
  <c r="I56" i="117"/>
  <c r="K56" i="117" s="1"/>
  <c r="J55" i="117"/>
  <c r="I55" i="117"/>
  <c r="K55" i="117" s="1"/>
  <c r="J54" i="117"/>
  <c r="I54" i="117"/>
  <c r="J53" i="117"/>
  <c r="I53" i="117"/>
  <c r="K53" i="117" s="1"/>
  <c r="J52" i="117"/>
  <c r="I52" i="117"/>
  <c r="J51" i="117"/>
  <c r="I51" i="117"/>
  <c r="J50" i="117"/>
  <c r="I50" i="117"/>
  <c r="J49" i="117"/>
  <c r="I49" i="117"/>
  <c r="K49" i="117" s="1"/>
  <c r="J48" i="117"/>
  <c r="I48" i="117"/>
  <c r="J47" i="117"/>
  <c r="I47" i="117"/>
  <c r="J46" i="117"/>
  <c r="I46" i="117"/>
  <c r="J45" i="117"/>
  <c r="I45" i="117"/>
  <c r="K45" i="117" s="1"/>
  <c r="J44" i="117"/>
  <c r="I44" i="117"/>
  <c r="J43" i="117"/>
  <c r="I43" i="117"/>
  <c r="K43" i="117" s="1"/>
  <c r="K42" i="117"/>
  <c r="J42" i="117"/>
  <c r="I42" i="117"/>
  <c r="K41" i="117"/>
  <c r="J41" i="117"/>
  <c r="I41" i="117"/>
  <c r="J40" i="117"/>
  <c r="I40" i="117"/>
  <c r="K40" i="117" s="1"/>
  <c r="J39" i="117"/>
  <c r="I39" i="117"/>
  <c r="J38" i="117"/>
  <c r="I38" i="117"/>
  <c r="J37" i="117"/>
  <c r="K37" i="117" s="1"/>
  <c r="I37" i="117"/>
  <c r="J36" i="117"/>
  <c r="I36" i="117"/>
  <c r="J35" i="117"/>
  <c r="I35" i="117"/>
  <c r="K35" i="117" s="1"/>
  <c r="K34" i="117"/>
  <c r="J34" i="117"/>
  <c r="I34" i="117"/>
  <c r="K33" i="117"/>
  <c r="J33" i="117"/>
  <c r="I33" i="117"/>
  <c r="J32" i="117"/>
  <c r="I32" i="117"/>
  <c r="J31" i="117"/>
  <c r="I31" i="117"/>
  <c r="K31" i="117" s="1"/>
  <c r="J30" i="117"/>
  <c r="I30" i="117"/>
  <c r="K30" i="117" s="1"/>
  <c r="J29" i="117"/>
  <c r="K29" i="117" s="1"/>
  <c r="I29" i="117"/>
  <c r="J28" i="117"/>
  <c r="I28" i="117"/>
  <c r="J27" i="117"/>
  <c r="I27" i="117"/>
  <c r="K26" i="117"/>
  <c r="J26" i="117"/>
  <c r="I26" i="117"/>
  <c r="K25" i="117"/>
  <c r="J25" i="117"/>
  <c r="I25" i="117"/>
  <c r="J24" i="117"/>
  <c r="I24" i="117"/>
  <c r="J23" i="117"/>
  <c r="I23" i="117"/>
  <c r="K23" i="117" s="1"/>
  <c r="J22" i="117"/>
  <c r="I22" i="117"/>
  <c r="J21" i="117"/>
  <c r="K21" i="117" s="1"/>
  <c r="I21" i="117"/>
  <c r="J20" i="117"/>
  <c r="I20" i="117"/>
  <c r="K20" i="117" s="1"/>
  <c r="J19" i="117"/>
  <c r="I19" i="117"/>
  <c r="K19" i="117" s="1"/>
  <c r="K18" i="117"/>
  <c r="J18" i="117"/>
  <c r="I18" i="117"/>
  <c r="J17" i="117"/>
  <c r="K17" i="117" s="1"/>
  <c r="I17" i="117"/>
  <c r="J16" i="117"/>
  <c r="I16" i="117"/>
  <c r="J15" i="117"/>
  <c r="I15" i="117"/>
  <c r="J14" i="117"/>
  <c r="I14" i="117"/>
  <c r="K14" i="117" s="1"/>
  <c r="J13" i="117"/>
  <c r="K13" i="117" s="1"/>
  <c r="I13" i="117"/>
  <c r="J12" i="117"/>
  <c r="I12" i="117"/>
  <c r="J11" i="117"/>
  <c r="I11" i="117"/>
  <c r="K11" i="117" s="1"/>
  <c r="J10" i="117"/>
  <c r="I10" i="117"/>
  <c r="K9" i="117"/>
  <c r="J9" i="117"/>
  <c r="I9" i="117"/>
  <c r="J8" i="117"/>
  <c r="I8" i="117"/>
  <c r="K8" i="117" s="1"/>
  <c r="J7" i="117"/>
  <c r="I7" i="117"/>
  <c r="J6" i="117"/>
  <c r="I6" i="117"/>
  <c r="J5" i="117"/>
  <c r="K5" i="117" s="1"/>
  <c r="I5" i="117"/>
  <c r="J79" i="116"/>
  <c r="I79" i="116"/>
  <c r="K79" i="116" s="1"/>
  <c r="J78" i="116"/>
  <c r="I78" i="116"/>
  <c r="K78" i="116" s="1"/>
  <c r="J77" i="116"/>
  <c r="I77" i="116"/>
  <c r="J76" i="116"/>
  <c r="K76" i="116" s="1"/>
  <c r="I76" i="116"/>
  <c r="J75" i="116"/>
  <c r="K75" i="116" s="1"/>
  <c r="I75" i="116"/>
  <c r="K74" i="116"/>
  <c r="J74" i="116"/>
  <c r="I74" i="116"/>
  <c r="J73" i="116"/>
  <c r="I73" i="116"/>
  <c r="K73" i="116" s="1"/>
  <c r="J72" i="116"/>
  <c r="I72" i="116"/>
  <c r="J71" i="116"/>
  <c r="I71" i="116"/>
  <c r="J70" i="116"/>
  <c r="I70" i="116"/>
  <c r="K70" i="116" s="1"/>
  <c r="J69" i="116"/>
  <c r="I69" i="116"/>
  <c r="K69" i="116" s="1"/>
  <c r="J68" i="116"/>
  <c r="K68" i="116" s="1"/>
  <c r="I68" i="116"/>
  <c r="J67" i="116"/>
  <c r="K67" i="116" s="1"/>
  <c r="I67" i="116"/>
  <c r="K66" i="116"/>
  <c r="J66" i="116"/>
  <c r="I66" i="116"/>
  <c r="J65" i="116"/>
  <c r="I65" i="116"/>
  <c r="J64" i="116"/>
  <c r="I64" i="116"/>
  <c r="J63" i="116"/>
  <c r="I63" i="116"/>
  <c r="J62" i="116"/>
  <c r="I62" i="116"/>
  <c r="K62" i="116" s="1"/>
  <c r="J61" i="116"/>
  <c r="I61" i="116"/>
  <c r="K61" i="116" s="1"/>
  <c r="J60" i="116"/>
  <c r="K60" i="116" s="1"/>
  <c r="I60" i="116"/>
  <c r="J59" i="116"/>
  <c r="K59" i="116" s="1"/>
  <c r="I59" i="116"/>
  <c r="J58" i="116"/>
  <c r="I58" i="116"/>
  <c r="J57" i="116"/>
  <c r="I57" i="116"/>
  <c r="J56" i="116"/>
  <c r="I56" i="116"/>
  <c r="J55" i="116"/>
  <c r="I55" i="116"/>
  <c r="K55" i="116" s="1"/>
  <c r="J54" i="116"/>
  <c r="I54" i="116"/>
  <c r="J53" i="116"/>
  <c r="I53" i="116"/>
  <c r="K53" i="116" s="1"/>
  <c r="J52" i="116"/>
  <c r="I52" i="116"/>
  <c r="J51" i="116"/>
  <c r="K51" i="116" s="1"/>
  <c r="I51" i="116"/>
  <c r="J50" i="116"/>
  <c r="I50" i="116"/>
  <c r="J49" i="116"/>
  <c r="I49" i="116"/>
  <c r="J48" i="116"/>
  <c r="I48" i="116"/>
  <c r="J47" i="116"/>
  <c r="I47" i="116"/>
  <c r="J46" i="116"/>
  <c r="I46" i="116"/>
  <c r="J45" i="116"/>
  <c r="I45" i="116"/>
  <c r="J44" i="116"/>
  <c r="I44" i="116"/>
  <c r="K44" i="116" s="1"/>
  <c r="J43" i="116"/>
  <c r="I43" i="116"/>
  <c r="J42" i="116"/>
  <c r="I42" i="116"/>
  <c r="J41" i="116"/>
  <c r="I41" i="116"/>
  <c r="J40" i="116"/>
  <c r="I40" i="116"/>
  <c r="J39" i="116"/>
  <c r="I39" i="116"/>
  <c r="K39" i="116" s="1"/>
  <c r="J38" i="116"/>
  <c r="I38" i="116"/>
  <c r="J37" i="116"/>
  <c r="I37" i="116"/>
  <c r="J36" i="116"/>
  <c r="I36" i="116"/>
  <c r="K36" i="116" s="1"/>
  <c r="J35" i="116"/>
  <c r="K35" i="116" s="1"/>
  <c r="I35" i="116"/>
  <c r="K34" i="116"/>
  <c r="J34" i="116"/>
  <c r="I34" i="116"/>
  <c r="J33" i="116"/>
  <c r="I33" i="116"/>
  <c r="J32" i="116"/>
  <c r="I32" i="116"/>
  <c r="J31" i="116"/>
  <c r="I31" i="116"/>
  <c r="J30" i="116"/>
  <c r="I30" i="116"/>
  <c r="J29" i="116"/>
  <c r="I29" i="116"/>
  <c r="K29" i="116" s="1"/>
  <c r="J28" i="116"/>
  <c r="I28" i="116"/>
  <c r="J27" i="116"/>
  <c r="I27" i="116"/>
  <c r="K26" i="116"/>
  <c r="J26" i="116"/>
  <c r="I26" i="116"/>
  <c r="J25" i="116"/>
  <c r="I25" i="116"/>
  <c r="J24" i="116"/>
  <c r="I24" i="116"/>
  <c r="J23" i="116"/>
  <c r="I23" i="116"/>
  <c r="J22" i="116"/>
  <c r="I22" i="116"/>
  <c r="J21" i="116"/>
  <c r="I21" i="116"/>
  <c r="J20" i="116"/>
  <c r="I20" i="116"/>
  <c r="J19" i="116"/>
  <c r="I19" i="116"/>
  <c r="K18" i="116"/>
  <c r="J18" i="116"/>
  <c r="I18" i="116"/>
  <c r="J17" i="116"/>
  <c r="I17" i="116"/>
  <c r="J16" i="116"/>
  <c r="I16" i="116"/>
  <c r="J15" i="116"/>
  <c r="I15" i="116"/>
  <c r="J14" i="116"/>
  <c r="I14" i="116"/>
  <c r="K14" i="116" s="1"/>
  <c r="J13" i="116"/>
  <c r="I13" i="116"/>
  <c r="K13" i="116" s="1"/>
  <c r="J12" i="116"/>
  <c r="I12" i="116"/>
  <c r="J11" i="116"/>
  <c r="I11" i="116"/>
  <c r="J10" i="116"/>
  <c r="I10" i="116"/>
  <c r="J9" i="116"/>
  <c r="I9" i="116"/>
  <c r="K9" i="116" s="1"/>
  <c r="J8" i="116"/>
  <c r="I8" i="116"/>
  <c r="K8" i="116" s="1"/>
  <c r="J7" i="116"/>
  <c r="I7" i="116"/>
  <c r="J6" i="116"/>
  <c r="I6" i="116"/>
  <c r="J5" i="116"/>
  <c r="I5" i="116"/>
  <c r="K5" i="116" s="1"/>
  <c r="I79" i="32"/>
  <c r="K79" i="32" s="1"/>
  <c r="J79" i="32"/>
  <c r="J15" i="32"/>
  <c r="I15" i="32"/>
  <c r="I73" i="32"/>
  <c r="J73" i="32"/>
  <c r="I74" i="32"/>
  <c r="J74" i="32"/>
  <c r="I75" i="32"/>
  <c r="J75" i="32"/>
  <c r="K75" i="32"/>
  <c r="I76" i="32"/>
  <c r="K76" i="32" s="1"/>
  <c r="J76" i="32"/>
  <c r="I77" i="32"/>
  <c r="J77" i="32"/>
  <c r="I78" i="32"/>
  <c r="J78" i="32"/>
  <c r="K43" i="124" l="1"/>
  <c r="K43" i="122"/>
  <c r="K49" i="124"/>
  <c r="K49" i="121"/>
  <c r="K49" i="118"/>
  <c r="K49" i="116"/>
  <c r="K73" i="124"/>
  <c r="K73" i="122"/>
  <c r="K73" i="121"/>
  <c r="K73" i="119"/>
  <c r="K63" i="124"/>
  <c r="K63" i="122"/>
  <c r="K63" i="117"/>
  <c r="K63" i="116"/>
  <c r="K42" i="123"/>
  <c r="K42" i="124"/>
  <c r="K42" i="122"/>
  <c r="K42" i="119"/>
  <c r="K42" i="116"/>
  <c r="K37" i="124"/>
  <c r="K37" i="122"/>
  <c r="K37" i="120"/>
  <c r="K37" i="119"/>
  <c r="K37" i="116"/>
  <c r="K29" i="122"/>
  <c r="K48" i="118"/>
  <c r="K48" i="117"/>
  <c r="K48" i="116"/>
  <c r="K77" i="122"/>
  <c r="K77" i="121"/>
  <c r="K77" i="120"/>
  <c r="K77" i="119"/>
  <c r="K77" i="118"/>
  <c r="K77" i="117"/>
  <c r="K77" i="116"/>
  <c r="K32" i="124"/>
  <c r="K32" i="122"/>
  <c r="K32" i="121"/>
  <c r="K32" i="118"/>
  <c r="K32" i="117"/>
  <c r="K32" i="116"/>
  <c r="K7" i="118"/>
  <c r="K7" i="117"/>
  <c r="K69" i="117"/>
  <c r="K11" i="124"/>
  <c r="K11" i="122"/>
  <c r="K11" i="120"/>
  <c r="K69" i="122"/>
  <c r="K69" i="121"/>
  <c r="K69" i="120"/>
  <c r="K69" i="119"/>
  <c r="K69" i="118"/>
  <c r="K65" i="121"/>
  <c r="K65" i="119"/>
  <c r="K65" i="117"/>
  <c r="K65" i="116"/>
  <c r="K54" i="122"/>
  <c r="K54" i="118"/>
  <c r="K54" i="117"/>
  <c r="K54" i="116"/>
  <c r="K12" i="124"/>
  <c r="K12" i="122"/>
  <c r="K12" i="121"/>
  <c r="K12" i="120"/>
  <c r="K12" i="119"/>
  <c r="K12" i="118"/>
  <c r="K12" i="117"/>
  <c r="K51" i="124"/>
  <c r="K51" i="122"/>
  <c r="K51" i="117"/>
  <c r="K33" i="120"/>
  <c r="K33" i="116"/>
  <c r="K52" i="121"/>
  <c r="K52" i="118"/>
  <c r="K52" i="117"/>
  <c r="K52" i="116"/>
  <c r="K41" i="124"/>
  <c r="K41" i="122"/>
  <c r="K41" i="116"/>
  <c r="K30" i="124"/>
  <c r="K30" i="120"/>
  <c r="K30" i="119"/>
  <c r="K30" i="116"/>
  <c r="K17" i="124"/>
  <c r="K17" i="122"/>
  <c r="K17" i="121"/>
  <c r="K17" i="118"/>
  <c r="K17" i="116"/>
  <c r="K67" i="122"/>
  <c r="K67" i="120"/>
  <c r="K67" i="119"/>
  <c r="K67" i="117"/>
  <c r="K6" i="122"/>
  <c r="K6" i="119"/>
  <c r="K6" i="118"/>
  <c r="K6" i="117"/>
  <c r="K39" i="124"/>
  <c r="K39" i="122"/>
  <c r="K39" i="117"/>
  <c r="K57" i="124"/>
  <c r="K57" i="122"/>
  <c r="K57" i="121"/>
  <c r="K57" i="118"/>
  <c r="K57" i="117"/>
  <c r="K57" i="116"/>
  <c r="K43" i="119"/>
  <c r="K43" i="116"/>
  <c r="K72" i="124"/>
  <c r="K72" i="122"/>
  <c r="K72" i="120"/>
  <c r="K72" i="119"/>
  <c r="K72" i="118"/>
  <c r="K72" i="117"/>
  <c r="K72" i="116"/>
  <c r="K70" i="124"/>
  <c r="K70" i="122"/>
  <c r="K70" i="120"/>
  <c r="K70" i="119"/>
  <c r="K46" i="122"/>
  <c r="K46" i="121"/>
  <c r="K46" i="118"/>
  <c r="K46" i="117"/>
  <c r="K46" i="116"/>
  <c r="K74" i="124"/>
  <c r="K74" i="122"/>
  <c r="K74" i="120"/>
  <c r="K74" i="119"/>
  <c r="K58" i="124"/>
  <c r="K58" i="122"/>
  <c r="K58" i="121"/>
  <c r="K58" i="120"/>
  <c r="K58" i="119"/>
  <c r="K58" i="116"/>
  <c r="K40" i="124"/>
  <c r="K40" i="122"/>
  <c r="K40" i="121"/>
  <c r="K40" i="120"/>
  <c r="K40" i="119"/>
  <c r="K40" i="116"/>
  <c r="K35" i="122"/>
  <c r="K35" i="121"/>
  <c r="K35" i="118"/>
  <c r="K68" i="124"/>
  <c r="K68" i="122"/>
  <c r="K68" i="119"/>
  <c r="K25" i="124"/>
  <c r="K25" i="120"/>
  <c r="K25" i="119"/>
  <c r="K25" i="116"/>
  <c r="K16" i="118"/>
  <c r="K16" i="117"/>
  <c r="K21" i="124"/>
  <c r="K21" i="122"/>
  <c r="K21" i="120"/>
  <c r="K21" i="119"/>
  <c r="K21" i="116"/>
  <c r="K47" i="123"/>
  <c r="K47" i="124"/>
  <c r="K47" i="122"/>
  <c r="K47" i="117"/>
  <c r="K47" i="116"/>
  <c r="K71" i="124"/>
  <c r="K71" i="120"/>
  <c r="K71" i="116"/>
  <c r="K27" i="124"/>
  <c r="K27" i="122"/>
  <c r="K27" i="118"/>
  <c r="K27" i="117"/>
  <c r="K27" i="116"/>
  <c r="K15" i="121"/>
  <c r="K15" i="118"/>
  <c r="K15" i="117"/>
  <c r="K31" i="122"/>
  <c r="K31" i="121"/>
  <c r="K31" i="120"/>
  <c r="K31" i="119"/>
  <c r="K31" i="116"/>
  <c r="K56" i="124"/>
  <c r="K56" i="122"/>
  <c r="K56" i="121"/>
  <c r="K56" i="116"/>
  <c r="K61" i="121"/>
  <c r="K28" i="124"/>
  <c r="K28" i="122"/>
  <c r="K28" i="117"/>
  <c r="K28" i="116"/>
  <c r="K64" i="124"/>
  <c r="K64" i="122"/>
  <c r="K64" i="116"/>
  <c r="K10" i="123"/>
  <c r="K10" i="124"/>
  <c r="K24" i="124"/>
  <c r="K36" i="122"/>
  <c r="K36" i="124"/>
  <c r="K60" i="124"/>
  <c r="K8" i="123"/>
  <c r="K16" i="123"/>
  <c r="K24" i="123"/>
  <c r="K28" i="123"/>
  <c r="K32" i="123"/>
  <c r="K50" i="123"/>
  <c r="K54" i="123"/>
  <c r="K62" i="123"/>
  <c r="K66" i="123"/>
  <c r="K74" i="123"/>
  <c r="K14" i="123"/>
  <c r="K18" i="123"/>
  <c r="K72" i="123"/>
  <c r="K76" i="123"/>
  <c r="K69" i="123"/>
  <c r="K73" i="123"/>
  <c r="K36" i="123"/>
  <c r="K41" i="123"/>
  <c r="K59" i="123"/>
  <c r="K52" i="123"/>
  <c r="K60" i="123"/>
  <c r="K11" i="123"/>
  <c r="K31" i="123"/>
  <c r="K49" i="123"/>
  <c r="K65" i="123"/>
  <c r="K77" i="123"/>
  <c r="K21" i="123"/>
  <c r="K44" i="123"/>
  <c r="K57" i="123"/>
  <c r="K61" i="123"/>
  <c r="K58" i="123"/>
  <c r="K38" i="123"/>
  <c r="K55" i="123"/>
  <c r="K20" i="123"/>
  <c r="K39" i="123"/>
  <c r="K79" i="123"/>
  <c r="K75" i="123"/>
  <c r="K15" i="123"/>
  <c r="K27" i="123"/>
  <c r="K34" i="123"/>
  <c r="K68" i="123"/>
  <c r="K35" i="123"/>
  <c r="K43" i="123"/>
  <c r="K51" i="123"/>
  <c r="K6" i="123"/>
  <c r="K12" i="123"/>
  <c r="K22" i="123"/>
  <c r="K29" i="123"/>
  <c r="K56" i="123"/>
  <c r="K63" i="123"/>
  <c r="K70" i="123"/>
  <c r="K13" i="123"/>
  <c r="K78" i="123"/>
  <c r="K7" i="123"/>
  <c r="K23" i="123"/>
  <c r="K26" i="123"/>
  <c r="K30" i="123"/>
  <c r="K37" i="123"/>
  <c r="K45" i="123"/>
  <c r="K53" i="123"/>
  <c r="K64" i="123"/>
  <c r="K71" i="123"/>
  <c r="K67" i="123"/>
  <c r="K23" i="122"/>
  <c r="K23" i="121"/>
  <c r="K23" i="120"/>
  <c r="K23" i="119"/>
  <c r="K23" i="116"/>
  <c r="K45" i="122"/>
  <c r="K10" i="121"/>
  <c r="K38" i="121"/>
  <c r="K22" i="122"/>
  <c r="K22" i="121"/>
  <c r="K24" i="122"/>
  <c r="K66" i="120"/>
  <c r="K20" i="122"/>
  <c r="K20" i="120"/>
  <c r="K13" i="121"/>
  <c r="K60" i="120"/>
  <c r="K19" i="121"/>
  <c r="K68" i="121"/>
  <c r="K5" i="121"/>
  <c r="K6" i="121"/>
  <c r="K20" i="121"/>
  <c r="K27" i="121"/>
  <c r="K39" i="121"/>
  <c r="K50" i="121"/>
  <c r="K54" i="121"/>
  <c r="K76" i="121"/>
  <c r="K62" i="121"/>
  <c r="K7" i="121"/>
  <c r="K14" i="121"/>
  <c r="K36" i="121"/>
  <c r="K43" i="121"/>
  <c r="K55" i="121"/>
  <c r="K70" i="121"/>
  <c r="K25" i="121"/>
  <c r="K29" i="121"/>
  <c r="K44" i="121"/>
  <c r="K63" i="121"/>
  <c r="K71" i="121"/>
  <c r="K11" i="121"/>
  <c r="K26" i="121"/>
  <c r="K30" i="121"/>
  <c r="K41" i="121"/>
  <c r="K45" i="121"/>
  <c r="K67" i="121"/>
  <c r="K75" i="121"/>
  <c r="K23" i="118"/>
  <c r="K50" i="118"/>
  <c r="K50" i="117"/>
  <c r="K50" i="116"/>
  <c r="K45" i="119"/>
  <c r="K45" i="116"/>
  <c r="K45" i="120"/>
  <c r="K10" i="119"/>
  <c r="K10" i="118"/>
  <c r="K10" i="117"/>
  <c r="K10" i="116"/>
  <c r="K38" i="118"/>
  <c r="K38" i="117"/>
  <c r="K38" i="116"/>
  <c r="K38" i="120"/>
  <c r="K14" i="120"/>
  <c r="K14" i="119"/>
  <c r="K22" i="117"/>
  <c r="K22" i="116"/>
  <c r="K66" i="119"/>
  <c r="K24" i="119"/>
  <c r="K66" i="118"/>
  <c r="K24" i="118"/>
  <c r="K24" i="117"/>
  <c r="K24" i="116"/>
  <c r="K44" i="118"/>
  <c r="K20" i="119"/>
  <c r="K44" i="117"/>
  <c r="K36" i="118"/>
  <c r="K36" i="117"/>
  <c r="K20" i="116"/>
  <c r="K19" i="116"/>
  <c r="K16" i="116"/>
  <c r="K15" i="116"/>
  <c r="K12" i="116"/>
  <c r="K11" i="116"/>
  <c r="K7" i="116"/>
  <c r="K6" i="116"/>
  <c r="K73" i="32"/>
  <c r="K78" i="32"/>
  <c r="K74" i="32"/>
  <c r="K77" i="32"/>
  <c r="I65" i="32"/>
  <c r="J65" i="32"/>
  <c r="I66" i="32"/>
  <c r="J66" i="32"/>
  <c r="I67" i="32"/>
  <c r="J67" i="32"/>
  <c r="K67" i="32" s="1"/>
  <c r="I68" i="32"/>
  <c r="J68" i="32"/>
  <c r="I69" i="32"/>
  <c r="J69" i="32"/>
  <c r="I70" i="32"/>
  <c r="J70" i="32"/>
  <c r="I71" i="32"/>
  <c r="J71" i="32"/>
  <c r="I72" i="32"/>
  <c r="J72" i="32"/>
  <c r="K65" i="32" l="1"/>
  <c r="K70" i="32"/>
  <c r="K69" i="32"/>
  <c r="K66" i="32"/>
  <c r="K72" i="32"/>
  <c r="K68" i="32"/>
  <c r="K71" i="32"/>
  <c r="I63" i="32"/>
  <c r="J63" i="32"/>
  <c r="I64" i="32"/>
  <c r="J64" i="32"/>
  <c r="K64" i="32" l="1"/>
  <c r="K63" i="32"/>
  <c r="J62" i="32" l="1"/>
  <c r="I62" i="32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J46" i="32"/>
  <c r="I46" i="32"/>
  <c r="J45" i="32"/>
  <c r="I45" i="32"/>
  <c r="J44" i="32"/>
  <c r="I44" i="32"/>
  <c r="J43" i="32"/>
  <c r="I43" i="32"/>
  <c r="J42" i="32"/>
  <c r="I42" i="32"/>
  <c r="J41" i="32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J26" i="32"/>
  <c r="I26" i="32"/>
  <c r="J25" i="32"/>
  <c r="I25" i="32"/>
  <c r="J24" i="32"/>
  <c r="I24" i="32"/>
  <c r="J23" i="32"/>
  <c r="I23" i="32"/>
  <c r="J22" i="32"/>
  <c r="I22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J6" i="32"/>
  <c r="I6" i="32"/>
  <c r="J5" i="32"/>
  <c r="I5" i="32"/>
  <c r="K32" i="32" l="1"/>
  <c r="K38" i="32"/>
  <c r="K26" i="32"/>
  <c r="K42" i="32"/>
  <c r="K36" i="32"/>
  <c r="K11" i="32"/>
  <c r="K50" i="32"/>
  <c r="K46" i="32"/>
  <c r="K54" i="32"/>
  <c r="K5" i="32"/>
  <c r="K8" i="32"/>
  <c r="K12" i="32"/>
  <c r="K16" i="32"/>
  <c r="K20" i="32"/>
  <c r="K7" i="32"/>
  <c r="K14" i="32"/>
  <c r="K53" i="32"/>
  <c r="K24" i="32"/>
  <c r="K22" i="32"/>
  <c r="K58" i="32"/>
  <c r="K34" i="32"/>
  <c r="K27" i="32"/>
  <c r="K6" i="32"/>
  <c r="K15" i="32"/>
  <c r="K23" i="32"/>
  <c r="K29" i="32"/>
  <c r="K41" i="32"/>
  <c r="K30" i="32"/>
  <c r="K49" i="32"/>
  <c r="K61" i="32"/>
  <c r="K13" i="32"/>
  <c r="K17" i="32"/>
  <c r="K21" i="32"/>
  <c r="K35" i="32"/>
  <c r="K18" i="32"/>
  <c r="K33" i="32"/>
  <c r="K62" i="32"/>
  <c r="K39" i="32"/>
  <c r="K40" i="32"/>
  <c r="K28" i="32"/>
  <c r="K59" i="32"/>
  <c r="K25" i="32"/>
  <c r="K43" i="32"/>
  <c r="K47" i="32"/>
  <c r="K60" i="32"/>
  <c r="K52" i="32"/>
  <c r="K19" i="32"/>
  <c r="K57" i="32"/>
  <c r="K44" i="32"/>
  <c r="K31" i="32"/>
  <c r="K48" i="32"/>
  <c r="K56" i="32"/>
  <c r="K55" i="32"/>
  <c r="K10" i="32"/>
  <c r="K37" i="32"/>
  <c r="K45" i="32"/>
  <c r="K9" i="32"/>
  <c r="K51" i="32"/>
</calcChain>
</file>

<file path=xl/sharedStrings.xml><?xml version="1.0" encoding="utf-8"?>
<sst xmlns="http://schemas.openxmlformats.org/spreadsheetml/2006/main" count="2632" uniqueCount="90">
  <si>
    <t>NHÂN VIÊN</t>
  </si>
  <si>
    <t>GIỜ LÀM VIỆC</t>
  </si>
  <si>
    <t>GIỜ NGHỈ TRƯA</t>
  </si>
  <si>
    <t>GIỜ KẾT THÚC</t>
  </si>
  <si>
    <t>ĐỖ KINH NGUYÊN</t>
  </si>
  <si>
    <t>NGUYỄN TRỌNG VỸ</t>
  </si>
  <si>
    <t>LÊ QUỐC TRUNG</t>
  </si>
  <si>
    <t>NGUYỄN THỊ NGỌC LAN</t>
  </si>
  <si>
    <t>TRƯƠNG VĂN CÔNG</t>
  </si>
  <si>
    <t>TRƯƠNG THANH HIẾU</t>
  </si>
  <si>
    <t>PHẠM VĂN TRIỀU</t>
  </si>
  <si>
    <t>ĐÀO QUỐC HÙNG</t>
  </si>
  <si>
    <t>NGUYỄN HOÀNG HUY</t>
  </si>
  <si>
    <t>LÊ MINH THÔNG</t>
  </si>
  <si>
    <t>TRỊNH THỊ HUYỀN TRÂN</t>
  </si>
  <si>
    <t>HUỲNH MAI THÁI AN</t>
  </si>
  <si>
    <t>VĂNG NGUYỄN HỒNG TƯƠI</t>
  </si>
  <si>
    <t>NGUYỄN HUỲNH THANH TRÚC</t>
  </si>
  <si>
    <t>ĐỖ THỊ TUYẾT NHUNG</t>
  </si>
  <si>
    <t>NGUYỄN MINH ANH THƯ</t>
  </si>
  <si>
    <t>TÔ TRANG ĐÀI</t>
  </si>
  <si>
    <t>HỒNG HIẾU NGHĨA</t>
  </si>
  <si>
    <t>TRƯƠNG BÁ KHÁNH HƯNG</t>
  </si>
  <si>
    <t>LÊ THỊ HỒNG VÂN</t>
  </si>
  <si>
    <t>VÕ VĂN CHÍNH</t>
  </si>
  <si>
    <t>BÙI HỮU DƯ</t>
  </si>
  <si>
    <t>LÊ THỊ MAI LOAN</t>
  </si>
  <si>
    <t>NGUYỄN THỊ NGỌC NHIÊN</t>
  </si>
  <si>
    <t>HUỲNH QUÝ TÍNH</t>
  </si>
  <si>
    <t>PHÍ THỊ THANH THOA</t>
  </si>
  <si>
    <t>NGUYỄN THỊ THIÊN TRANG</t>
  </si>
  <si>
    <t>NGUYỄN THỊ KIM THOA</t>
  </si>
  <si>
    <t>VÕ THỊ THANH NGÂN</t>
  </si>
  <si>
    <t>KHA PHÚ LỢI</t>
  </si>
  <si>
    <t>BÙI THỊ MAI TRINH</t>
  </si>
  <si>
    <t>NGUYỄN HỮU TÂM</t>
  </si>
  <si>
    <t>NGUYỄN THANH SANG</t>
  </si>
  <si>
    <t>HUỲNH NHƯ QUỲNH</t>
  </si>
  <si>
    <t>NGUYỄN HOÀI THIÊN TRANG</t>
  </si>
  <si>
    <t>NGÔ THỊ TUYẾT ANH</t>
  </si>
  <si>
    <t>HUỲNH TẤN TÀI</t>
  </si>
  <si>
    <t>TRẦN TÚ TÀI</t>
  </si>
  <si>
    <t>NGUYỄN VIẾT CHÍ THÀNH</t>
  </si>
  <si>
    <t>LÊ THỊ KIM MỸ</t>
  </si>
  <si>
    <t>LÊ ANH HUÂN</t>
  </si>
  <si>
    <t>DƯ THANH VŨ</t>
  </si>
  <si>
    <t>VÕ THỊ KIỀU MI</t>
  </si>
  <si>
    <t>NGUYỄN CÔNG THÀNH</t>
  </si>
  <si>
    <t>DƯƠNG THỊ HỒNG OÁNH</t>
  </si>
  <si>
    <t>Giờ Kết Thúc - Giờ Làm Việc</t>
  </si>
  <si>
    <t>Buổi Sáng : Giờ Nghỉ Trưa - Giờ Làm Việc
Buổi Chiều : Giờ Kết Thúc - Giờ Nghỉ Trưa
Cổng Lại : Buổi Sáng + Buổi Chiều</t>
  </si>
  <si>
    <t>Cách Tính 1 ( Tô màu khi &lt; 9 giờ )</t>
  </si>
  <si>
    <t>Cách Tính 2 ( Tô màu khi &lt; 9 giờ )</t>
  </si>
  <si>
    <t>VÕ HỮU THÀNH</t>
  </si>
  <si>
    <t>ĐOÀN TRUNG NGHĨA</t>
  </si>
  <si>
    <t>VÕ HOÀNG ĐĂNG KHÔI</t>
  </si>
  <si>
    <t>HỒ HUỲNH NHƯ</t>
  </si>
  <si>
    <t>LÊ NHỰC ANH</t>
  </si>
  <si>
    <t>NGUYỄN QUỐC HÙNG</t>
  </si>
  <si>
    <t>NGUYỄN NGỌC THANH LÂM</t>
  </si>
  <si>
    <t>ĐỒNG NGỌC CHÂU</t>
  </si>
  <si>
    <t>NGUYỄN THỊ NGÂN HÀ</t>
  </si>
  <si>
    <t>TRẦN NGUYỄN TÚ NHI</t>
  </si>
  <si>
    <t>DƯƠNG TẤN KHANG</t>
  </si>
  <si>
    <t>BẢNG THEO DÕI THỜI GIAN LÀM  VIỆC TRÊN APPNHÂN VIÊN K9 THÁNG 05/2026</t>
  </si>
  <si>
    <t>NGUYỄN CÔNG PHÁT</t>
  </si>
  <si>
    <t>TRẦN DUY HOÀNG</t>
  </si>
  <si>
    <t>ĐỖ NGỌC NHƯ Ý</t>
  </si>
  <si>
    <t>HUỲNH LÊ PHƯƠNG TRANG</t>
  </si>
  <si>
    <t>TRẦN PHƯỚC ĐẠT</t>
  </si>
  <si>
    <t>NGUYỄN BẢO XUYÊN</t>
  </si>
  <si>
    <t>LÊ KHÁNH DƯƠNG</t>
  </si>
  <si>
    <t>TRẦN NGUYỄN BẢO NGÂN</t>
  </si>
  <si>
    <t>NGUYỄN MINH TÚ</t>
  </si>
  <si>
    <t>LÂM THIÊN Ý</t>
  </si>
  <si>
    <t>BÙI HỮU KHÁ</t>
  </si>
  <si>
    <t>ĐẶNG ĐANG KIM NGÂN</t>
  </si>
  <si>
    <t>LA ĐỒNG HIỆP</t>
  </si>
  <si>
    <t>NGUYỄN NGỌC VÂN</t>
  </si>
  <si>
    <t>BÙI MINH CHÂU</t>
  </si>
  <si>
    <t>PHẠM HUỲNH MINH KHÔI</t>
  </si>
  <si>
    <t>LÊ THỊ MỸ NƯƠNG</t>
  </si>
  <si>
    <t>BÙI ANH MINH</t>
  </si>
  <si>
    <t>LÊ NAM PHƯƠNG</t>
  </si>
  <si>
    <t>PHẠM HOÀNG HƯƠNG ÁI</t>
  </si>
  <si>
    <t>LÊ THÁI DIỄM UYÊN</t>
  </si>
  <si>
    <t>DƯƠNG HUỲNH TÂN</t>
  </si>
  <si>
    <t>TIKTOK</t>
  </si>
  <si>
    <t>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</si>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</sst>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4" fillId="0" borderId="0">
      <alignment horizontal="center" vertical="center"/>
    </xf>
    <xf numFmtId="0" fontId="1" fillId="0" borderId="0"/>
  </cellStyleXfs>
  <cellXfs count="4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5" fillId="0" borderId="1" xfId="1" applyFont="1" applyBorder="1" applyAlignment="1">
      <alignment horizontal="left"/>
    </xf>
    <xf numFmtId="20" fontId="0" fillId="0" borderId="1" xfId="0" applyNumberFormat="1" applyBorder="1"/>
    <xf numFmtId="20" fontId="0" fillId="0" borderId="6" xfId="0" applyNumberFormat="1" applyBorder="1"/>
    <xf numFmtId="20" fontId="0" fillId="0" borderId="0" xfId="0" applyNumberFormat="1"/>
    <xf numFmtId="20" fontId="0" fillId="0" borderId="0" xfId="0" applyNumberFormat="1" applyAlignment="1">
      <alignment horizontal="right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5" fillId="4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left"/>
    </xf>
    <xf numFmtId="0" fontId="5" fillId="6" borderId="1" xfId="1" applyFont="1" applyFill="1" applyBorder="1" applyAlignment="1">
      <alignment horizontal="left"/>
    </xf>
    <xf numFmtId="164" fontId="5" fillId="6" borderId="1" xfId="2" applyNumberFormat="1" applyFont="1" applyFill="1" applyBorder="1" applyAlignment="1">
      <alignment horizontal="center" wrapText="1"/>
    </xf>
    <xf numFmtId="164" fontId="5" fillId="6" borderId="1" xfId="2" quotePrefix="1" applyNumberFormat="1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164" fontId="5" fillId="6" borderId="7" xfId="2" applyNumberFormat="1" applyFont="1" applyFill="1" applyBorder="1" applyAlignment="1">
      <alignment horizontal="center" wrapText="1"/>
    </xf>
    <xf numFmtId="0" fontId="5" fillId="4" borderId="7" xfId="1" applyFont="1" applyFill="1" applyBorder="1" applyAlignment="1">
      <alignment horizontal="left"/>
    </xf>
    <xf numFmtId="0" fontId="0" fillId="0" borderId="7" xfId="0" applyBorder="1"/>
    <xf numFmtId="22" fontId="0" fillId="0" borderId="6" xfId="0" applyNumberForma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0" fillId="0" borderId="1" xfId="0" applyNumberFormat="1" applyBorder="1"/>
    <xf numFmtId="20" fontId="0" fillId="0" borderId="7" xfId="0" applyNumberFormat="1" applyBorder="1"/>
    <xf numFmtId="0" fontId="0" fillId="0" borderId="0" xfId="0" applyNumberFormat="1"/>
    <xf numFmtId="165" fontId="0" fillId="0" borderId="0" xfId="0" applyNumberFormat="1"/>
    <xf numFmtId="22" fontId="0" fillId="0" borderId="1" xfId="0" applyNumberForma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</cellXfs>
  <cellStyles count="4">
    <cellStyle name="Normal" xfId="0" builtinId="0"/>
    <cellStyle name="Normal 2" xfId="3" xr:uid="{E9120034-CAA3-4C95-B09B-CB69AC095C1A}"/>
    <cellStyle name="Normal_Sheet1_Thang 11" xfId="2" xr:uid="{06D8464D-0AAE-415C-A786-9A922C7C911A}"/>
    <cellStyle name="Normal_Thang 2" xfId="1" xr:uid="{00000000-0005-0000-0000-000001000000}"/>
  </cellStyles>
  <dxfs count="43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597D-2E41-4E2E-AAF6-1C2946F5865B}">
  <dimension ref="A2:L80"/>
  <sheetViews>
    <sheetView workbookViewId="0">
      <pane ySplit="3" topLeftCell="A19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0.31875000000000003</v>
      </c>
      <c r="E27" s="6">
        <v>0.69305555555555554</v>
      </c>
      <c r="F27" s="6">
        <v>0.81874999999999998</v>
      </c>
      <c r="G27" s="7">
        <v>0.87708333333333333</v>
      </c>
      <c r="I27" s="9">
        <f t="shared" si="0"/>
        <v>0.55833333333333335</v>
      </c>
      <c r="J27" s="9">
        <f t="shared" si="1"/>
        <v>0.43263888888888885</v>
      </c>
      <c r="K27" s="8">
        <f t="shared" si="2"/>
        <v>0.1256944444444445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0.31180555555555556</v>
      </c>
      <c r="E28" s="6"/>
      <c r="F28" s="6"/>
      <c r="G28" s="7">
        <v>0.91388888888888886</v>
      </c>
      <c r="I28" s="9">
        <f t="shared" si="0"/>
        <v>0.6020833333333333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0.5180555555555556</v>
      </c>
      <c r="E29" s="6">
        <v>0.83888888888888891</v>
      </c>
      <c r="F29" s="6">
        <v>0.85625000000000007</v>
      </c>
      <c r="G29" s="7">
        <v>0.88611111111111107</v>
      </c>
      <c r="I29" s="9">
        <f t="shared" si="0"/>
        <v>0.36805555555555547</v>
      </c>
      <c r="J29" s="9">
        <f t="shared" si="1"/>
        <v>0.35069444444444431</v>
      </c>
      <c r="K29" s="8">
        <f t="shared" si="2"/>
        <v>1.736111111111116E-2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0.33958333333333335</v>
      </c>
      <c r="E43" s="6"/>
      <c r="F43" s="6"/>
      <c r="G43" s="7">
        <v>0.9506944444444444</v>
      </c>
      <c r="I43" s="9">
        <f t="shared" si="0"/>
        <v>0.61111111111111105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0.34097222222222223</v>
      </c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435" priority="16">
      <formula>$I5 &lt; TIME(12,0,0)</formula>
    </cfRule>
  </conditionalFormatting>
  <conditionalFormatting sqref="A5:A80 I61:J80">
    <cfRule type="cellIs" dxfId="434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433" priority="4" operator="between">
      <formula>0.333333333333333</formula>
      <formula>0.375</formula>
    </cfRule>
  </conditionalFormatting>
  <conditionalFormatting sqref="D56:G56">
    <cfRule type="cellIs" dxfId="432" priority="12" operator="between">
      <formula>0.875694444444444</formula>
      <formula>0.999305555555556</formula>
    </cfRule>
    <cfRule type="cellIs" dxfId="431" priority="14" operator="between">
      <formula>0.333333333333333</formula>
      <formula>0.375</formula>
    </cfRule>
  </conditionalFormatting>
  <conditionalFormatting sqref="D5:J9">
    <cfRule type="expression" dxfId="430" priority="6">
      <formula>$I5 &lt; TIME(12,0,0)</formula>
    </cfRule>
  </conditionalFormatting>
  <conditionalFormatting sqref="D5:J12">
    <cfRule type="cellIs" dxfId="429" priority="5" operator="between">
      <formula>0.291666666666667</formula>
      <formula>0.315972222222222</formula>
    </cfRule>
  </conditionalFormatting>
  <conditionalFormatting sqref="D13:J53">
    <cfRule type="cellIs" dxfId="428" priority="1" operator="between">
      <formula>0.291666666666667</formula>
      <formula>0.315972222222222</formula>
    </cfRule>
    <cfRule type="expression" dxfId="427" priority="2">
      <formula>$I13 &lt; TIME(12,0,0)</formula>
    </cfRule>
  </conditionalFormatting>
  <conditionalFormatting sqref="D54:J58">
    <cfRule type="cellIs" dxfId="426" priority="13" operator="between">
      <formula>0.291666666666667</formula>
      <formula>0.315972222222222</formula>
    </cfRule>
  </conditionalFormatting>
  <conditionalFormatting sqref="D59:J60">
    <cfRule type="cellIs" dxfId="425" priority="9" operator="between">
      <formula>0.291666666666667</formula>
      <formula>0.315972222222222</formula>
    </cfRule>
    <cfRule type="expression" dxfId="424" priority="10">
      <formula>$I59 &lt; TIME(12,0,0)</formula>
    </cfRule>
  </conditionalFormatting>
  <conditionalFormatting sqref="G10">
    <cfRule type="cellIs" dxfId="423" priority="3" operator="between">
      <formula>0.875694444444444</formula>
      <formula>0.978472222222222</formula>
    </cfRule>
  </conditionalFormatting>
  <conditionalFormatting sqref="G56">
    <cfRule type="cellIs" dxfId="422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F776-FAC5-483B-8BE7-F0B185CE2680}">
  <dimension ref="A2:L80"/>
  <sheetViews>
    <sheetView workbookViewId="0">
      <pane ySplit="3" topLeftCell="A25" activePane="bottomLeft" state="frozen"/>
      <selection pane="bottomLeft" activeCell="D44" sqref="D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0.31805555555555554</v>
      </c>
      <c r="E27" s="6"/>
      <c r="F27" s="6"/>
      <c r="G27" s="7">
        <v>0.56458333333333333</v>
      </c>
      <c r="I27" s="9">
        <f t="shared" si="0"/>
        <v>0.24652777777777779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/>
      <c r="E28" s="6"/>
      <c r="F28" s="6"/>
      <c r="G28" s="7">
        <v>0.9145833333333333</v>
      </c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0.51736111111111105</v>
      </c>
      <c r="E29" s="6"/>
      <c r="F29" s="6"/>
      <c r="G29" s="7">
        <v>0.89027777777777783</v>
      </c>
      <c r="I29" s="9">
        <f t="shared" si="0"/>
        <v>0.37291666666666679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0.39999999999999997</v>
      </c>
      <c r="E43" s="6"/>
      <c r="F43" s="6"/>
      <c r="G43" s="7">
        <v>0.94374999999999998</v>
      </c>
      <c r="I43" s="9">
        <f t="shared" si="0"/>
        <v>0.54374999999999996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0.32500000000000001</v>
      </c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421" priority="16">
      <formula>$I5 &lt; TIME(12,0,0)</formula>
    </cfRule>
  </conditionalFormatting>
  <conditionalFormatting sqref="A5:A80 I61:J80">
    <cfRule type="cellIs" dxfId="420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419" priority="4" operator="between">
      <formula>0.333333333333333</formula>
      <formula>0.375</formula>
    </cfRule>
  </conditionalFormatting>
  <conditionalFormatting sqref="D56:G56">
    <cfRule type="cellIs" dxfId="418" priority="12" operator="between">
      <formula>0.875694444444444</formula>
      <formula>0.999305555555556</formula>
    </cfRule>
    <cfRule type="cellIs" dxfId="417" priority="14" operator="between">
      <formula>0.333333333333333</formula>
      <formula>0.375</formula>
    </cfRule>
  </conditionalFormatting>
  <conditionalFormatting sqref="D5:J9">
    <cfRule type="expression" dxfId="416" priority="6">
      <formula>$I5 &lt; TIME(12,0,0)</formula>
    </cfRule>
  </conditionalFormatting>
  <conditionalFormatting sqref="D5:J12">
    <cfRule type="cellIs" dxfId="415" priority="5" operator="between">
      <formula>0.291666666666667</formula>
      <formula>0.315972222222222</formula>
    </cfRule>
  </conditionalFormatting>
  <conditionalFormatting sqref="D13:J53">
    <cfRule type="cellIs" dxfId="414" priority="1" operator="between">
      <formula>0.291666666666667</formula>
      <formula>0.315972222222222</formula>
    </cfRule>
    <cfRule type="expression" dxfId="413" priority="2">
      <formula>$I13 &lt; TIME(12,0,0)</formula>
    </cfRule>
  </conditionalFormatting>
  <conditionalFormatting sqref="D54:J58">
    <cfRule type="cellIs" dxfId="412" priority="13" operator="between">
      <formula>0.291666666666667</formula>
      <formula>0.315972222222222</formula>
    </cfRule>
  </conditionalFormatting>
  <conditionalFormatting sqref="D59:J60">
    <cfRule type="cellIs" dxfId="411" priority="9" operator="between">
      <formula>0.291666666666667</formula>
      <formula>0.315972222222222</formula>
    </cfRule>
    <cfRule type="expression" dxfId="410" priority="10">
      <formula>$I59 &lt; TIME(12,0,0)</formula>
    </cfRule>
  </conditionalFormatting>
  <conditionalFormatting sqref="G10">
    <cfRule type="cellIs" dxfId="409" priority="3" operator="between">
      <formula>0.875694444444444</formula>
      <formula>0.978472222222222</formula>
    </cfRule>
  </conditionalFormatting>
  <conditionalFormatting sqref="G56">
    <cfRule type="cellIs" dxfId="408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3135-B487-4135-8405-DA6E75F2CD9C}">
  <dimension ref="A2:L80"/>
  <sheetViews>
    <sheetView workbookViewId="0">
      <pane ySplit="3" topLeftCell="A22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0.31666666666666665</v>
      </c>
      <c r="E27" s="6">
        <v>0.70138888888888884</v>
      </c>
      <c r="F27" s="6">
        <v>0.81180555555555556</v>
      </c>
      <c r="G27" s="7">
        <v>0.87152777777777779</v>
      </c>
      <c r="I27" s="9">
        <f t="shared" si="0"/>
        <v>0.55486111111111114</v>
      </c>
      <c r="J27" s="9">
        <f t="shared" si="1"/>
        <v>0.44444444444444442</v>
      </c>
      <c r="K27" s="8">
        <f t="shared" si="2"/>
        <v>0.11041666666666672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0.30972222222222223</v>
      </c>
      <c r="E28" s="6"/>
      <c r="F28" s="6"/>
      <c r="G28" s="7">
        <v>0.91319444444444453</v>
      </c>
      <c r="I28" s="9">
        <f t="shared" si="0"/>
        <v>0.6034722222222223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0.51180555555555551</v>
      </c>
      <c r="E29" s="6"/>
      <c r="F29" s="6"/>
      <c r="G29" s="7">
        <v>0.8930555555555556</v>
      </c>
      <c r="I29" s="9">
        <f t="shared" si="0"/>
        <v>0.38125000000000009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0.39930555555555558</v>
      </c>
      <c r="E43" s="6"/>
      <c r="F43" s="6"/>
      <c r="G43" s="7">
        <v>0.97638888888888886</v>
      </c>
      <c r="I43" s="9">
        <f t="shared" si="0"/>
        <v>0.57708333333333328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0.34097222222222223</v>
      </c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407" priority="16">
      <formula>$I5 &lt; TIME(12,0,0)</formula>
    </cfRule>
  </conditionalFormatting>
  <conditionalFormatting sqref="A5:A80 I61:J80">
    <cfRule type="cellIs" dxfId="406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405" priority="4" operator="between">
      <formula>0.333333333333333</formula>
      <formula>0.375</formula>
    </cfRule>
  </conditionalFormatting>
  <conditionalFormatting sqref="D56:G56">
    <cfRule type="cellIs" dxfId="404" priority="12" operator="between">
      <formula>0.875694444444444</formula>
      <formula>0.999305555555556</formula>
    </cfRule>
    <cfRule type="cellIs" dxfId="403" priority="14" operator="between">
      <formula>0.333333333333333</formula>
      <formula>0.375</formula>
    </cfRule>
  </conditionalFormatting>
  <conditionalFormatting sqref="D5:J9">
    <cfRule type="expression" dxfId="402" priority="6">
      <formula>$I5 &lt; TIME(12,0,0)</formula>
    </cfRule>
  </conditionalFormatting>
  <conditionalFormatting sqref="D5:J12">
    <cfRule type="cellIs" dxfId="401" priority="5" operator="between">
      <formula>0.291666666666667</formula>
      <formula>0.315972222222222</formula>
    </cfRule>
  </conditionalFormatting>
  <conditionalFormatting sqref="D13:J53">
    <cfRule type="cellIs" dxfId="400" priority="1" operator="between">
      <formula>0.291666666666667</formula>
      <formula>0.315972222222222</formula>
    </cfRule>
    <cfRule type="expression" dxfId="399" priority="2">
      <formula>$I13 &lt; TIME(12,0,0)</formula>
    </cfRule>
  </conditionalFormatting>
  <conditionalFormatting sqref="D54:J58">
    <cfRule type="cellIs" dxfId="398" priority="13" operator="between">
      <formula>0.291666666666667</formula>
      <formula>0.315972222222222</formula>
    </cfRule>
  </conditionalFormatting>
  <conditionalFormatting sqref="D59:J60">
    <cfRule type="cellIs" dxfId="397" priority="9" operator="between">
      <formula>0.291666666666667</formula>
      <formula>0.315972222222222</formula>
    </cfRule>
    <cfRule type="expression" dxfId="396" priority="10">
      <formula>$I59 &lt; TIME(12,0,0)</formula>
    </cfRule>
  </conditionalFormatting>
  <conditionalFormatting sqref="G10">
    <cfRule type="cellIs" dxfId="395" priority="3" operator="between">
      <formula>0.875694444444444</formula>
      <formula>0.978472222222222</formula>
    </cfRule>
  </conditionalFormatting>
  <conditionalFormatting sqref="G56">
    <cfRule type="cellIs" dxfId="394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E399-112B-4F11-828C-990558BCDF12}">
  <dimension ref="A2:L80"/>
  <sheetViews>
    <sheetView workbookViewId="0">
      <pane ySplit="3" topLeftCell="A22" activePane="bottomLeft" state="frozen"/>
      <selection pane="bottomLeft" activeCell="D44" sqref="D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0.31736111111111115</v>
      </c>
      <c r="E27" s="6">
        <v>0.65902777777777777</v>
      </c>
      <c r="F27" s="6">
        <v>0.77638888888888891</v>
      </c>
      <c r="G27" s="7">
        <v>0.87569444444444444</v>
      </c>
      <c r="I27" s="9">
        <f t="shared" si="0"/>
        <v>0.55833333333333335</v>
      </c>
      <c r="J27" s="9">
        <f t="shared" si="1"/>
        <v>0.44097222222222215</v>
      </c>
      <c r="K27" s="8">
        <f t="shared" si="2"/>
        <v>0.11736111111111119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0.30972222222222223</v>
      </c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0.31180555555555556</v>
      </c>
      <c r="E29" s="6">
        <v>0.54652777777777783</v>
      </c>
      <c r="F29" s="6">
        <v>0.61319444444444449</v>
      </c>
      <c r="G29" s="7">
        <v>0.87847222222222221</v>
      </c>
      <c r="I29" s="9">
        <f t="shared" si="0"/>
        <v>0.56666666666666665</v>
      </c>
      <c r="J29" s="9">
        <f t="shared" si="1"/>
        <v>0.5</v>
      </c>
      <c r="K29" s="8">
        <f t="shared" si="2"/>
        <v>6.6666666666666652E-2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0.3923611111111111</v>
      </c>
      <c r="E43" s="6"/>
      <c r="F43" s="6"/>
      <c r="G43" s="7">
        <v>0.96875</v>
      </c>
      <c r="I43" s="9">
        <f t="shared" si="0"/>
        <v>0.57638888888888884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0.33263888888888887</v>
      </c>
      <c r="E60" s="6"/>
      <c r="F60" s="6"/>
      <c r="G60" s="7">
        <v>0.68194444444444446</v>
      </c>
      <c r="I60" s="9">
        <f t="shared" si="0"/>
        <v>0.34930555555555559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93" priority="16">
      <formula>$I5 &lt; TIME(12,0,0)</formula>
    </cfRule>
  </conditionalFormatting>
  <conditionalFormatting sqref="A5:A80 I61:J80">
    <cfRule type="cellIs" dxfId="392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91" priority="4" operator="between">
      <formula>0.333333333333333</formula>
      <formula>0.375</formula>
    </cfRule>
  </conditionalFormatting>
  <conditionalFormatting sqref="D56:G56">
    <cfRule type="cellIs" dxfId="390" priority="12" operator="between">
      <formula>0.875694444444444</formula>
      <formula>0.999305555555556</formula>
    </cfRule>
    <cfRule type="cellIs" dxfId="389" priority="14" operator="between">
      <formula>0.333333333333333</formula>
      <formula>0.375</formula>
    </cfRule>
  </conditionalFormatting>
  <conditionalFormatting sqref="D5:J9">
    <cfRule type="expression" dxfId="388" priority="6">
      <formula>$I5 &lt; TIME(12,0,0)</formula>
    </cfRule>
  </conditionalFormatting>
  <conditionalFormatting sqref="D5:J12">
    <cfRule type="cellIs" dxfId="387" priority="5" operator="between">
      <formula>0.291666666666667</formula>
      <formula>0.315972222222222</formula>
    </cfRule>
  </conditionalFormatting>
  <conditionalFormatting sqref="D13:J53">
    <cfRule type="cellIs" dxfId="386" priority="1" operator="between">
      <formula>0.291666666666667</formula>
      <formula>0.315972222222222</formula>
    </cfRule>
    <cfRule type="expression" dxfId="385" priority="2">
      <formula>$I13 &lt; TIME(12,0,0)</formula>
    </cfRule>
  </conditionalFormatting>
  <conditionalFormatting sqref="D54:J58">
    <cfRule type="cellIs" dxfId="384" priority="13" operator="between">
      <formula>0.291666666666667</formula>
      <formula>0.315972222222222</formula>
    </cfRule>
  </conditionalFormatting>
  <conditionalFormatting sqref="D59:J60">
    <cfRule type="cellIs" dxfId="383" priority="9" operator="between">
      <formula>0.291666666666667</formula>
      <formula>0.315972222222222</formula>
    </cfRule>
    <cfRule type="expression" dxfId="382" priority="10">
      <formula>$I59 &lt; TIME(12,0,0)</formula>
    </cfRule>
  </conditionalFormatting>
  <conditionalFormatting sqref="G10">
    <cfRule type="cellIs" dxfId="381" priority="3" operator="between">
      <formula>0.875694444444444</formula>
      <formula>0.978472222222222</formula>
    </cfRule>
  </conditionalFormatting>
  <conditionalFormatting sqref="G56">
    <cfRule type="cellIs" dxfId="380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D994-2467-48A1-9F2F-5EBBC31B8612}">
  <dimension ref="A2:L80"/>
  <sheetViews>
    <sheetView workbookViewId="0">
      <pane ySplit="3" topLeftCell="A25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0.31736111111111115</v>
      </c>
      <c r="E27" s="6">
        <v>0.67638888888888893</v>
      </c>
      <c r="F27" s="6">
        <v>0.77222222222222225</v>
      </c>
      <c r="G27" s="7">
        <v>0.87638888888888899</v>
      </c>
      <c r="I27" s="9">
        <f t="shared" si="0"/>
        <v>0.5590277777777779</v>
      </c>
      <c r="J27" s="9">
        <f t="shared" si="1"/>
        <v>0.46319444444444452</v>
      </c>
      <c r="K27" s="8">
        <f t="shared" si="2"/>
        <v>9.5833333333333381E-2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0.31319444444444444</v>
      </c>
      <c r="E28" s="6"/>
      <c r="F28" s="6"/>
      <c r="G28" s="7">
        <v>0.91736111111111107</v>
      </c>
      <c r="I28" s="9">
        <f t="shared" si="0"/>
        <v>0.60416666666666663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0.39305555555555555</v>
      </c>
      <c r="E43" s="6"/>
      <c r="F43" s="6"/>
      <c r="G43" s="7">
        <v>0.9604166666666667</v>
      </c>
      <c r="I43" s="9">
        <f t="shared" si="0"/>
        <v>0.5673611111111112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0.33194444444444443</v>
      </c>
      <c r="E60" s="6"/>
      <c r="F60" s="6"/>
      <c r="G60" s="7">
        <v>0.68888888888888899</v>
      </c>
      <c r="I60" s="9">
        <f t="shared" si="0"/>
        <v>0.35694444444444456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79" priority="16">
      <formula>$I5 &lt; TIME(12,0,0)</formula>
    </cfRule>
  </conditionalFormatting>
  <conditionalFormatting sqref="A5:A80 I61:J80">
    <cfRule type="cellIs" dxfId="378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77" priority="4" operator="between">
      <formula>0.333333333333333</formula>
      <formula>0.375</formula>
    </cfRule>
  </conditionalFormatting>
  <conditionalFormatting sqref="D56:G56">
    <cfRule type="cellIs" dxfId="376" priority="12" operator="between">
      <formula>0.875694444444444</formula>
      <formula>0.999305555555556</formula>
    </cfRule>
    <cfRule type="cellIs" dxfId="375" priority="14" operator="between">
      <formula>0.333333333333333</formula>
      <formula>0.375</formula>
    </cfRule>
  </conditionalFormatting>
  <conditionalFormatting sqref="D5:J9">
    <cfRule type="expression" dxfId="374" priority="6">
      <formula>$I5 &lt; TIME(12,0,0)</formula>
    </cfRule>
  </conditionalFormatting>
  <conditionalFormatting sqref="D5:J12">
    <cfRule type="cellIs" dxfId="373" priority="5" operator="between">
      <formula>0.291666666666667</formula>
      <formula>0.315972222222222</formula>
    </cfRule>
  </conditionalFormatting>
  <conditionalFormatting sqref="D13:J53">
    <cfRule type="cellIs" dxfId="372" priority="1" operator="between">
      <formula>0.291666666666667</formula>
      <formula>0.315972222222222</formula>
    </cfRule>
    <cfRule type="expression" dxfId="371" priority="2">
      <formula>$I13 &lt; TIME(12,0,0)</formula>
    </cfRule>
  </conditionalFormatting>
  <conditionalFormatting sqref="D54:J58">
    <cfRule type="cellIs" dxfId="370" priority="13" operator="between">
      <formula>0.291666666666667</formula>
      <formula>0.315972222222222</formula>
    </cfRule>
  </conditionalFormatting>
  <conditionalFormatting sqref="D59:J60">
    <cfRule type="cellIs" dxfId="369" priority="9" operator="between">
      <formula>0.291666666666667</formula>
      <formula>0.315972222222222</formula>
    </cfRule>
    <cfRule type="expression" dxfId="368" priority="10">
      <formula>$I59 &lt; TIME(12,0,0)</formula>
    </cfRule>
  </conditionalFormatting>
  <conditionalFormatting sqref="G10">
    <cfRule type="cellIs" dxfId="367" priority="3" operator="between">
      <formula>0.875694444444444</formula>
      <formula>0.978472222222222</formula>
    </cfRule>
  </conditionalFormatting>
  <conditionalFormatting sqref="G56">
    <cfRule type="cellIs" dxfId="366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B363-7C9C-454B-9BAC-B3759CC20927}">
  <dimension ref="A2:L80"/>
  <sheetViews>
    <sheetView workbookViewId="0">
      <pane ySplit="3" topLeftCell="A22" activePane="bottomLeft" state="frozen"/>
      <selection pane="bottomLeft" activeCell="D44" sqref="D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1" t="s">
        <v>0</v>
      </c>
      <c r="D3" s="4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/>
      <c r="E27" s="6">
        <v>0.66527777777777775</v>
      </c>
      <c r="F27" s="6">
        <v>0.79305555555555562</v>
      </c>
      <c r="G27" s="7">
        <v>0.87361111111111101</v>
      </c>
      <c r="I27" s="9" t="str">
        <f t="shared" si="0"/>
        <v>-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0.31111111111111112</v>
      </c>
      <c r="E28" s="6"/>
      <c r="F28" s="6"/>
      <c r="G28" s="7">
        <v>0.91319444444444453</v>
      </c>
      <c r="I28" s="9">
        <f t="shared" si="0"/>
        <v>0.60208333333333341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0.3576388888888889</v>
      </c>
      <c r="E43" s="6"/>
      <c r="F43" s="6"/>
      <c r="G43" s="7">
        <v>0.95347222222222217</v>
      </c>
      <c r="I43" s="9">
        <f t="shared" si="0"/>
        <v>0.59583333333333321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0.33333333333333331</v>
      </c>
      <c r="E60" s="6"/>
      <c r="F60" s="6"/>
      <c r="G60" s="7">
        <v>0.67986111111111114</v>
      </c>
      <c r="I60" s="9">
        <f t="shared" si="0"/>
        <v>0.34652777777777782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65" priority="16">
      <formula>$I5 &lt; TIME(12,0,0)</formula>
    </cfRule>
  </conditionalFormatting>
  <conditionalFormatting sqref="A5:A80 I61:J80">
    <cfRule type="cellIs" dxfId="364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63" priority="4" operator="between">
      <formula>0.333333333333333</formula>
      <formula>0.375</formula>
    </cfRule>
  </conditionalFormatting>
  <conditionalFormatting sqref="D56:G56">
    <cfRule type="cellIs" dxfId="362" priority="12" operator="between">
      <formula>0.875694444444444</formula>
      <formula>0.999305555555556</formula>
    </cfRule>
    <cfRule type="cellIs" dxfId="361" priority="14" operator="between">
      <formula>0.333333333333333</formula>
      <formula>0.375</formula>
    </cfRule>
  </conditionalFormatting>
  <conditionalFormatting sqref="D5:J9">
    <cfRule type="expression" dxfId="360" priority="6">
      <formula>$I5 &lt; TIME(12,0,0)</formula>
    </cfRule>
  </conditionalFormatting>
  <conditionalFormatting sqref="D5:J12">
    <cfRule type="cellIs" dxfId="359" priority="5" operator="between">
      <formula>0.291666666666667</formula>
      <formula>0.315972222222222</formula>
    </cfRule>
  </conditionalFormatting>
  <conditionalFormatting sqref="D13:J53">
    <cfRule type="cellIs" dxfId="358" priority="1" operator="between">
      <formula>0.291666666666667</formula>
      <formula>0.315972222222222</formula>
    </cfRule>
    <cfRule type="expression" dxfId="357" priority="2">
      <formula>$I13 &lt; TIME(12,0,0)</formula>
    </cfRule>
  </conditionalFormatting>
  <conditionalFormatting sqref="D54:J58">
    <cfRule type="cellIs" dxfId="356" priority="13" operator="between">
      <formula>0.291666666666667</formula>
      <formula>0.315972222222222</formula>
    </cfRule>
  </conditionalFormatting>
  <conditionalFormatting sqref="D59:J60">
    <cfRule type="cellIs" dxfId="355" priority="9" operator="between">
      <formula>0.291666666666667</formula>
      <formula>0.315972222222222</formula>
    </cfRule>
    <cfRule type="expression" dxfId="354" priority="10">
      <formula>$I59 &lt; TIME(12,0,0)</formula>
    </cfRule>
  </conditionalFormatting>
  <conditionalFormatting sqref="G10">
    <cfRule type="cellIs" dxfId="353" priority="3" operator="between">
      <formula>0.875694444444444</formula>
      <formula>0.978472222222222</formula>
    </cfRule>
  </conditionalFormatting>
  <conditionalFormatting sqref="G56">
    <cfRule type="cellIs" dxfId="352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8882-098A-4A50-B5D8-D5031F04ABD6}">
  <dimension ref="A2:L80"/>
  <sheetViews>
    <sheetView workbookViewId="0">
      <pane ySplit="3" topLeftCell="A14" activePane="bottomLeft" state="frozen"/>
      <selection pane="bottomLeft" activeCell="G30" sqref="G30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0" t="s">
        <v>0</v>
      </c>
      <c r="D3" s="4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0.31805555555555554</v>
      </c>
      <c r="E27" s="6">
        <v>0.63750000000000007</v>
      </c>
      <c r="F27" s="6"/>
      <c r="G27" s="7">
        <v>0.87430555555555556</v>
      </c>
      <c r="I27" s="9">
        <f t="shared" si="0"/>
        <v>0.55625000000000002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0.30833333333333335</v>
      </c>
      <c r="E28" s="6"/>
      <c r="F28" s="6"/>
      <c r="G28" s="7">
        <v>0.9159722222222223</v>
      </c>
      <c r="I28" s="9">
        <f t="shared" si="0"/>
        <v>0.60763888888888895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0.51736111111111105</v>
      </c>
      <c r="E29" s="6"/>
      <c r="F29" s="6"/>
      <c r="G29" s="7">
        <v>0.87777777777777777</v>
      </c>
      <c r="I29" s="9">
        <f t="shared" si="0"/>
        <v>0.36041666666666672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/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0.34097222222222223</v>
      </c>
      <c r="E60" s="6"/>
      <c r="F60" s="6"/>
      <c r="G60" s="7">
        <v>0.69097222222222221</v>
      </c>
      <c r="I60" s="9">
        <f t="shared" si="0"/>
        <v>0.35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51" priority="16">
      <formula>$I5 &lt; TIME(12,0,0)</formula>
    </cfRule>
  </conditionalFormatting>
  <conditionalFormatting sqref="A5:A80 I61:J80">
    <cfRule type="cellIs" dxfId="350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49" priority="4" operator="between">
      <formula>0.333333333333333</formula>
      <formula>0.375</formula>
    </cfRule>
  </conditionalFormatting>
  <conditionalFormatting sqref="D56:G56">
    <cfRule type="cellIs" dxfId="348" priority="12" operator="between">
      <formula>0.875694444444444</formula>
      <formula>0.999305555555556</formula>
    </cfRule>
    <cfRule type="cellIs" dxfId="347" priority="14" operator="between">
      <formula>0.333333333333333</formula>
      <formula>0.375</formula>
    </cfRule>
  </conditionalFormatting>
  <conditionalFormatting sqref="D5:J9">
    <cfRule type="expression" dxfId="346" priority="6">
      <formula>$I5 &lt; TIME(12,0,0)</formula>
    </cfRule>
  </conditionalFormatting>
  <conditionalFormatting sqref="D5:J12">
    <cfRule type="cellIs" dxfId="345" priority="5" operator="between">
      <formula>0.291666666666667</formula>
      <formula>0.315972222222222</formula>
    </cfRule>
  </conditionalFormatting>
  <conditionalFormatting sqref="D13:J53">
    <cfRule type="cellIs" dxfId="344" priority="1" operator="between">
      <formula>0.291666666666667</formula>
      <formula>0.315972222222222</formula>
    </cfRule>
    <cfRule type="expression" dxfId="343" priority="2">
      <formula>$I13 &lt; TIME(12,0,0)</formula>
    </cfRule>
  </conditionalFormatting>
  <conditionalFormatting sqref="D54:J58">
    <cfRule type="cellIs" dxfId="342" priority="13" operator="between">
      <formula>0.291666666666667</formula>
      <formula>0.315972222222222</formula>
    </cfRule>
  </conditionalFormatting>
  <conditionalFormatting sqref="D59:J60">
    <cfRule type="cellIs" dxfId="341" priority="9" operator="between">
      <formula>0.291666666666667</formula>
      <formula>0.315972222222222</formula>
    </cfRule>
    <cfRule type="expression" dxfId="340" priority="10">
      <formula>$I59 &lt; TIME(12,0,0)</formula>
    </cfRule>
  </conditionalFormatting>
  <conditionalFormatting sqref="G10">
    <cfRule type="cellIs" dxfId="339" priority="3" operator="between">
      <formula>0.875694444444444</formula>
      <formula>0.978472222222222</formula>
    </cfRule>
  </conditionalFormatting>
  <conditionalFormatting sqref="G56">
    <cfRule type="cellIs" dxfId="338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1CB7-46DF-4BF5-87BE-5A2F889879DD}">
  <dimension ref="A2:L80"/>
  <sheetViews>
    <sheetView workbookViewId="0">
      <pane ySplit="3" topLeftCell="A13" activePane="bottomLeft" state="frozen"/>
      <selection pane="bottomLeft" activeCell="D44" sqref="D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40" t="s">
        <v>0</v>
      </c>
      <c r="D3" s="4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0.31805555555555554</v>
      </c>
      <c r="E27" s="6">
        <v>0.65902777777777777</v>
      </c>
      <c r="F27" s="6">
        <v>0.77569444444444446</v>
      </c>
      <c r="G27" s="7">
        <v>0.87291666666666667</v>
      </c>
      <c r="I27" s="9">
        <f t="shared" si="0"/>
        <v>0.55486111111111114</v>
      </c>
      <c r="J27" s="9">
        <f t="shared" si="1"/>
        <v>0.43819444444444444</v>
      </c>
      <c r="K27" s="8">
        <f t="shared" si="2"/>
        <v>0.1166666666666667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0.30902777777777779</v>
      </c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0.3125</v>
      </c>
      <c r="E29" s="6"/>
      <c r="F29" s="6"/>
      <c r="G29" s="7">
        <v>0.64513888888888882</v>
      </c>
      <c r="I29" s="9">
        <f t="shared" si="0"/>
        <v>0.33263888888888882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0.35902777777777778</v>
      </c>
      <c r="E43" s="6"/>
      <c r="F43" s="6"/>
      <c r="G43" s="7">
        <v>0.89097222222222217</v>
      </c>
      <c r="I43" s="9">
        <f t="shared" si="0"/>
        <v>0.53194444444444433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0.33680555555555558</v>
      </c>
      <c r="E60" s="6"/>
      <c r="F60" s="6"/>
      <c r="G60" s="7">
        <v>0.6875</v>
      </c>
      <c r="I60" s="9">
        <f t="shared" si="0"/>
        <v>0.35069444444444442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37" priority="16">
      <formula>$I5 &lt; TIME(12,0,0)</formula>
    </cfRule>
  </conditionalFormatting>
  <conditionalFormatting sqref="A5:A80 I61:J80">
    <cfRule type="cellIs" dxfId="336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35" priority="4" operator="between">
      <formula>0.333333333333333</formula>
      <formula>0.375</formula>
    </cfRule>
  </conditionalFormatting>
  <conditionalFormatting sqref="D56:G56">
    <cfRule type="cellIs" dxfId="334" priority="12" operator="between">
      <formula>0.875694444444444</formula>
      <formula>0.999305555555556</formula>
    </cfRule>
    <cfRule type="cellIs" dxfId="333" priority="14" operator="between">
      <formula>0.333333333333333</formula>
      <formula>0.375</formula>
    </cfRule>
  </conditionalFormatting>
  <conditionalFormatting sqref="D5:J9">
    <cfRule type="expression" dxfId="332" priority="6">
      <formula>$I5 &lt; TIME(12,0,0)</formula>
    </cfRule>
  </conditionalFormatting>
  <conditionalFormatting sqref="D5:J12">
    <cfRule type="cellIs" dxfId="331" priority="5" operator="between">
      <formula>0.291666666666667</formula>
      <formula>0.315972222222222</formula>
    </cfRule>
  </conditionalFormatting>
  <conditionalFormatting sqref="D13:J53">
    <cfRule type="cellIs" dxfId="330" priority="1" operator="between">
      <formula>0.291666666666667</formula>
      <formula>0.315972222222222</formula>
    </cfRule>
    <cfRule type="expression" dxfId="329" priority="2">
      <formula>$I13 &lt; TIME(12,0,0)</formula>
    </cfRule>
  </conditionalFormatting>
  <conditionalFormatting sqref="D54:J58">
    <cfRule type="cellIs" dxfId="328" priority="13" operator="between">
      <formula>0.291666666666667</formula>
      <formula>0.315972222222222</formula>
    </cfRule>
  </conditionalFormatting>
  <conditionalFormatting sqref="D59:J60">
    <cfRule type="cellIs" dxfId="327" priority="9" operator="between">
      <formula>0.291666666666667</formula>
      <formula>0.315972222222222</formula>
    </cfRule>
    <cfRule type="expression" dxfId="326" priority="10">
      <formula>$I59 &lt; TIME(12,0,0)</formula>
    </cfRule>
  </conditionalFormatting>
  <conditionalFormatting sqref="G10">
    <cfRule type="cellIs" dxfId="325" priority="3" operator="between">
      <formula>0.875694444444444</formula>
      <formula>0.978472222222222</formula>
    </cfRule>
  </conditionalFormatting>
  <conditionalFormatting sqref="G56">
    <cfRule type="cellIs" dxfId="324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8D37-E791-4E04-AFFC-DC6DBABFFE5A}">
  <dimension ref="A2:L80"/>
  <sheetViews>
    <sheetView workbookViewId="0">
      <pane ySplit="3" topLeftCell="A19" activePane="bottomLeft" state="frozen"/>
      <selection pane="bottomLeft" activeCell="D44" sqref="D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9" t="s">
        <v>0</v>
      </c>
      <c r="D3" s="39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0.31805555555555554</v>
      </c>
      <c r="E27" s="6">
        <v>0.71736111111111101</v>
      </c>
      <c r="F27" s="6">
        <v>0.7944444444444444</v>
      </c>
      <c r="G27" s="7">
        <v>0.87361111111111101</v>
      </c>
      <c r="I27" s="9">
        <f t="shared" si="0"/>
        <v>0.55555555555555547</v>
      </c>
      <c r="J27" s="9">
        <f t="shared" si="1"/>
        <v>0.47847222222222208</v>
      </c>
      <c r="K27" s="8">
        <f t="shared" si="2"/>
        <v>7.7083333333333393E-2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0.31319444444444444</v>
      </c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0.51458333333333328</v>
      </c>
      <c r="E29" s="6">
        <v>0.73055555555555562</v>
      </c>
      <c r="F29" s="6">
        <v>0.75</v>
      </c>
      <c r="G29" s="7">
        <v>0.90069444444444446</v>
      </c>
      <c r="I29" s="9">
        <f t="shared" si="0"/>
        <v>0.38611111111111118</v>
      </c>
      <c r="J29" s="9">
        <f t="shared" si="1"/>
        <v>0.36666666666666681</v>
      </c>
      <c r="K29" s="8">
        <f t="shared" si="2"/>
        <v>1.9444444444444375E-2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0.51041666666666663</v>
      </c>
      <c r="E43" s="6"/>
      <c r="F43" s="6"/>
      <c r="G43" s="7">
        <v>0.97083333333333333</v>
      </c>
      <c r="I43" s="9">
        <f t="shared" si="0"/>
        <v>0.4604166666666667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0.33749999999999997</v>
      </c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23" priority="16">
      <formula>$I5 &lt; TIME(12,0,0)</formula>
    </cfRule>
  </conditionalFormatting>
  <conditionalFormatting sqref="A5:A80 I61:J80">
    <cfRule type="cellIs" dxfId="322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21" priority="4" operator="between">
      <formula>0.333333333333333</formula>
      <formula>0.375</formula>
    </cfRule>
  </conditionalFormatting>
  <conditionalFormatting sqref="D56:G56">
    <cfRule type="cellIs" dxfId="320" priority="12" operator="between">
      <formula>0.875694444444444</formula>
      <formula>0.999305555555556</formula>
    </cfRule>
    <cfRule type="cellIs" dxfId="319" priority="14" operator="between">
      <formula>0.333333333333333</formula>
      <formula>0.375</formula>
    </cfRule>
  </conditionalFormatting>
  <conditionalFormatting sqref="D5:J9">
    <cfRule type="expression" dxfId="318" priority="6">
      <formula>$I5 &lt; TIME(12,0,0)</formula>
    </cfRule>
  </conditionalFormatting>
  <conditionalFormatting sqref="D5:J12">
    <cfRule type="cellIs" dxfId="317" priority="5" operator="between">
      <formula>0.291666666666667</formula>
      <formula>0.315972222222222</formula>
    </cfRule>
  </conditionalFormatting>
  <conditionalFormatting sqref="D13:J53">
    <cfRule type="cellIs" dxfId="316" priority="1" operator="between">
      <formula>0.291666666666667</formula>
      <formula>0.315972222222222</formula>
    </cfRule>
    <cfRule type="expression" dxfId="315" priority="2">
      <formula>$I13 &lt; TIME(12,0,0)</formula>
    </cfRule>
  </conditionalFormatting>
  <conditionalFormatting sqref="D54:J58">
    <cfRule type="cellIs" dxfId="314" priority="13" operator="between">
      <formula>0.291666666666667</formula>
      <formula>0.315972222222222</formula>
    </cfRule>
  </conditionalFormatting>
  <conditionalFormatting sqref="D59:J60">
    <cfRule type="cellIs" dxfId="313" priority="9" operator="between">
      <formula>0.291666666666667</formula>
      <formula>0.315972222222222</formula>
    </cfRule>
    <cfRule type="expression" dxfId="312" priority="10">
      <formula>$I59 &lt; TIME(12,0,0)</formula>
    </cfRule>
  </conditionalFormatting>
  <conditionalFormatting sqref="G10">
    <cfRule type="cellIs" dxfId="311" priority="3" operator="between">
      <formula>0.875694444444444</formula>
      <formula>0.978472222222222</formula>
    </cfRule>
  </conditionalFormatting>
  <conditionalFormatting sqref="G56">
    <cfRule type="cellIs" dxfId="310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6CC3-6C25-4337-ADAC-87A10433432F}">
  <dimension ref="A2:L80"/>
  <sheetViews>
    <sheetView workbookViewId="0">
      <pane ySplit="3" topLeftCell="A22" activePane="bottomLeft" state="frozen"/>
      <selection pane="bottomLeft" activeCell="L28" sqref="L28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9" t="s">
        <v>0</v>
      </c>
      <c r="D3" s="39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0.31597222222222221</v>
      </c>
      <c r="E27" s="6">
        <v>0.66388888888888886</v>
      </c>
      <c r="F27" s="6">
        <v>0.76874999999999993</v>
      </c>
      <c r="G27" s="7">
        <v>0.87361111111111101</v>
      </c>
      <c r="I27" s="9">
        <f t="shared" si="0"/>
        <v>0.5576388888888888</v>
      </c>
      <c r="J27" s="9">
        <f t="shared" si="1"/>
        <v>0.45277777777777772</v>
      </c>
      <c r="K27" s="8">
        <f t="shared" si="2"/>
        <v>0.10486111111111107</v>
      </c>
      <c r="L27" s="8">
        <v>4.1666666666666664E-2</v>
      </c>
    </row>
    <row r="28" spans="1:12" x14ac:dyDescent="0.25">
      <c r="A28" s="2">
        <v>24</v>
      </c>
      <c r="B28" s="20">
        <v>38</v>
      </c>
      <c r="C28" s="5" t="s">
        <v>57</v>
      </c>
      <c r="D28" s="6"/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0.5395833333333333</v>
      </c>
      <c r="E43" s="6"/>
      <c r="F43" s="6"/>
      <c r="G43" s="7">
        <v>0.99791666666666667</v>
      </c>
      <c r="I43" s="9">
        <f t="shared" si="0"/>
        <v>0.45833333333333337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0.33611111111111108</v>
      </c>
      <c r="E60" s="6"/>
      <c r="F60" s="6"/>
      <c r="G60" s="7">
        <v>0.69236111111111109</v>
      </c>
      <c r="I60" s="9">
        <f t="shared" si="0"/>
        <v>0.35625000000000001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309" priority="16">
      <formula>$I5 &lt; TIME(12,0,0)</formula>
    </cfRule>
  </conditionalFormatting>
  <conditionalFormatting sqref="A5:A80 I61:J80">
    <cfRule type="cellIs" dxfId="308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307" priority="4" operator="between">
      <formula>0.333333333333333</formula>
      <formula>0.375</formula>
    </cfRule>
  </conditionalFormatting>
  <conditionalFormatting sqref="D56:G56">
    <cfRule type="cellIs" dxfId="306" priority="12" operator="between">
      <formula>0.875694444444444</formula>
      <formula>0.999305555555556</formula>
    </cfRule>
    <cfRule type="cellIs" dxfId="305" priority="14" operator="between">
      <formula>0.333333333333333</formula>
      <formula>0.375</formula>
    </cfRule>
  </conditionalFormatting>
  <conditionalFormatting sqref="D5:J9">
    <cfRule type="expression" dxfId="304" priority="6">
      <formula>$I5 &lt; TIME(12,0,0)</formula>
    </cfRule>
  </conditionalFormatting>
  <conditionalFormatting sqref="D5:J12">
    <cfRule type="cellIs" dxfId="303" priority="5" operator="between">
      <formula>0.291666666666667</formula>
      <formula>0.315972222222222</formula>
    </cfRule>
  </conditionalFormatting>
  <conditionalFormatting sqref="D13:J53">
    <cfRule type="cellIs" dxfId="302" priority="1" operator="between">
      <formula>0.291666666666667</formula>
      <formula>0.315972222222222</formula>
    </cfRule>
    <cfRule type="expression" dxfId="301" priority="2">
      <formula>$I13 &lt; TIME(12,0,0)</formula>
    </cfRule>
  </conditionalFormatting>
  <conditionalFormatting sqref="D54:J58">
    <cfRule type="cellIs" dxfId="300" priority="13" operator="between">
      <formula>0.291666666666667</formula>
      <formula>0.315972222222222</formula>
    </cfRule>
  </conditionalFormatting>
  <conditionalFormatting sqref="D59:J60">
    <cfRule type="cellIs" dxfId="299" priority="9" operator="between">
      <formula>0.291666666666667</formula>
      <formula>0.315972222222222</formula>
    </cfRule>
    <cfRule type="expression" dxfId="298" priority="10">
      <formula>$I59 &lt; TIME(12,0,0)</formula>
    </cfRule>
  </conditionalFormatting>
  <conditionalFormatting sqref="G10">
    <cfRule type="cellIs" dxfId="297" priority="3" operator="between">
      <formula>0.875694444444444</formula>
      <formula>0.978472222222222</formula>
    </cfRule>
  </conditionalFormatting>
  <conditionalFormatting sqref="G56">
    <cfRule type="cellIs" dxfId="296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905-4727-40F1-8BCC-C4BEF0B2E9BC}">
  <dimension ref="A2:L80"/>
  <sheetViews>
    <sheetView workbookViewId="0">
      <pane ySplit="3" topLeftCell="A16" activePane="bottomLeft" state="frozen"/>
      <selection pane="bottomLeft" activeCell="L28" sqref="L28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3" t="s">
        <v>0</v>
      </c>
      <c r="D3" s="33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0.32430555555555557</v>
      </c>
      <c r="E27" s="6">
        <v>0.71111111111111114</v>
      </c>
      <c r="F27" s="6">
        <v>0.80833333333333324</v>
      </c>
      <c r="G27" s="7">
        <v>0.87152777777777779</v>
      </c>
      <c r="I27" s="9">
        <f t="shared" si="0"/>
        <v>0.54722222222222228</v>
      </c>
      <c r="J27" s="9">
        <f t="shared" si="1"/>
        <v>0.45000000000000012</v>
      </c>
      <c r="K27" s="8">
        <f t="shared" si="2"/>
        <v>9.7222222222222154E-2</v>
      </c>
      <c r="L27" s="8">
        <v>3.4722222222222224E-2</v>
      </c>
    </row>
    <row r="28" spans="1:12" x14ac:dyDescent="0.25">
      <c r="A28" s="2">
        <v>24</v>
      </c>
      <c r="B28" s="20">
        <v>38</v>
      </c>
      <c r="C28" s="5" t="s">
        <v>57</v>
      </c>
      <c r="D28" s="6">
        <v>0.31111111111111112</v>
      </c>
      <c r="E28" s="6"/>
      <c r="F28" s="6"/>
      <c r="G28" s="7">
        <v>0.91388888888888886</v>
      </c>
      <c r="I28" s="9">
        <f t="shared" si="0"/>
        <v>0.60277777777777775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0.31180555555555556</v>
      </c>
      <c r="E29" s="6"/>
      <c r="F29" s="6"/>
      <c r="G29" s="7">
        <v>0.66736111111111107</v>
      </c>
      <c r="I29" s="9">
        <f t="shared" si="0"/>
        <v>0.35555555555555551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0.94791666666666663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0.33749999999999997</v>
      </c>
      <c r="E60" s="6"/>
      <c r="F60" s="6"/>
      <c r="G60" s="7">
        <v>0.68680555555555556</v>
      </c>
      <c r="I60" s="9">
        <f t="shared" si="0"/>
        <v>0.34930555555555559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95" priority="16">
      <formula>$I5 &lt; TIME(12,0,0)</formula>
    </cfRule>
  </conditionalFormatting>
  <conditionalFormatting sqref="A5:A80 I61:J80">
    <cfRule type="cellIs" dxfId="294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293" priority="4" operator="between">
      <formula>0.333333333333333</formula>
      <formula>0.375</formula>
    </cfRule>
  </conditionalFormatting>
  <conditionalFormatting sqref="D56:G56">
    <cfRule type="cellIs" dxfId="292" priority="12" operator="between">
      <formula>0.875694444444444</formula>
      <formula>0.999305555555556</formula>
    </cfRule>
    <cfRule type="cellIs" dxfId="291" priority="14" operator="between">
      <formula>0.333333333333333</formula>
      <formula>0.375</formula>
    </cfRule>
  </conditionalFormatting>
  <conditionalFormatting sqref="D5:J9">
    <cfRule type="expression" dxfId="290" priority="6">
      <formula>$I5 &lt; TIME(12,0,0)</formula>
    </cfRule>
  </conditionalFormatting>
  <conditionalFormatting sqref="D5:J12">
    <cfRule type="cellIs" dxfId="289" priority="5" operator="between">
      <formula>0.291666666666667</formula>
      <formula>0.315972222222222</formula>
    </cfRule>
  </conditionalFormatting>
  <conditionalFormatting sqref="D13:J53">
    <cfRule type="cellIs" dxfId="288" priority="1" operator="between">
      <formula>0.291666666666667</formula>
      <formula>0.315972222222222</formula>
    </cfRule>
    <cfRule type="expression" dxfId="287" priority="2">
      <formula>$I13 &lt; TIME(12,0,0)</formula>
    </cfRule>
  </conditionalFormatting>
  <conditionalFormatting sqref="D54:J58">
    <cfRule type="cellIs" dxfId="286" priority="13" operator="between">
      <formula>0.291666666666667</formula>
      <formula>0.315972222222222</formula>
    </cfRule>
  </conditionalFormatting>
  <conditionalFormatting sqref="D59:J60">
    <cfRule type="cellIs" dxfId="285" priority="9" operator="between">
      <formula>0.291666666666667</formula>
      <formula>0.315972222222222</formula>
    </cfRule>
    <cfRule type="expression" dxfId="284" priority="10">
      <formula>$I59 &lt; TIME(12,0,0)</formula>
    </cfRule>
  </conditionalFormatting>
  <conditionalFormatting sqref="G10">
    <cfRule type="cellIs" dxfId="283" priority="3" operator="between">
      <formula>0.875694444444444</formula>
      <formula>0.978472222222222</formula>
    </cfRule>
  </conditionalFormatting>
  <conditionalFormatting sqref="G56">
    <cfRule type="cellIs" dxfId="282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C6B9-76C8-46E9-BC0B-4867C7346A20}">
  <dimension ref="A2:L80"/>
  <sheetViews>
    <sheetView workbookViewId="0">
      <pane ySplit="3" topLeftCell="A10" activePane="bottomLeft" state="frozen"/>
      <selection pane="bottomLeft" activeCell="P25" sqref="P25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3" t="s">
        <v>0</v>
      </c>
      <c r="D3" s="33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0.39097222222222222</v>
      </c>
      <c r="E13" s="6"/>
      <c r="F13" s="6"/>
      <c r="G13" s="7">
        <v>0.71944444444444444</v>
      </c>
      <c r="I13" s="9">
        <f t="shared" si="0"/>
        <v>0.32847222222222222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>
        <v>0.6069444444444444</v>
      </c>
      <c r="F14" s="6">
        <v>0.62916666666666665</v>
      </c>
      <c r="G14" s="7">
        <v>0.87291666666666667</v>
      </c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26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26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0.31666666666666665</v>
      </c>
      <c r="E27" s="6">
        <v>0.72361111111111109</v>
      </c>
      <c r="F27" s="6">
        <v>0.81944444444444453</v>
      </c>
      <c r="G27" s="7">
        <v>0.87777777777777777</v>
      </c>
      <c r="I27" s="9">
        <f t="shared" si="0"/>
        <v>0.56111111111111112</v>
      </c>
      <c r="J27" s="9">
        <f t="shared" si="1"/>
        <v>0.46527777777777768</v>
      </c>
      <c r="K27" s="8">
        <f t="shared" si="2"/>
        <v>9.5833333333333437E-2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0.31180555555555556</v>
      </c>
      <c r="E28" s="6"/>
      <c r="F28" s="6"/>
      <c r="G28" s="7">
        <v>0.87569444444444444</v>
      </c>
      <c r="I28" s="9">
        <f t="shared" si="0"/>
        <v>0.56388888888888888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0.5229166666666667</v>
      </c>
      <c r="E29" s="6"/>
      <c r="F29" s="6"/>
      <c r="G29" s="7">
        <v>0.90902777777777777</v>
      </c>
      <c r="I29" s="9">
        <f t="shared" si="0"/>
        <v>0.38611111111111107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6"/>
      <c r="F42" s="6"/>
      <c r="G42" s="26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/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0.33333333333333331</v>
      </c>
      <c r="E60" s="6"/>
      <c r="F60" s="6"/>
      <c r="G60" s="7">
        <v>0.71388888888888891</v>
      </c>
      <c r="I60" s="9">
        <f t="shared" si="0"/>
        <v>0.38055555555555559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0.31875000000000003</v>
      </c>
      <c r="E66" s="6">
        <v>0.55347222222222225</v>
      </c>
      <c r="F66" s="6">
        <v>0.57847222222222217</v>
      </c>
      <c r="G66" s="6">
        <v>0.66666666666666663</v>
      </c>
      <c r="I66" s="9">
        <f t="shared" si="0"/>
        <v>0.3479166666666666</v>
      </c>
      <c r="J66" s="9">
        <f t="shared" si="1"/>
        <v>0.32291666666666669</v>
      </c>
      <c r="K66" s="8">
        <f t="shared" si="2"/>
        <v>2.4999999999999911E-2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/>
      <c r="E73" s="6"/>
      <c r="F73" s="6"/>
      <c r="G73" s="38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81" priority="16">
      <formula>$I5 &lt; TIME(12,0,0)</formula>
    </cfRule>
  </conditionalFormatting>
  <conditionalFormatting sqref="A5:A80 I61:J80">
    <cfRule type="cellIs" dxfId="280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279" priority="4" operator="between">
      <formula>0.333333333333333</formula>
      <formula>0.375</formula>
    </cfRule>
  </conditionalFormatting>
  <conditionalFormatting sqref="D56:G56">
    <cfRule type="cellIs" dxfId="278" priority="12" operator="between">
      <formula>0.875694444444444</formula>
      <formula>0.999305555555556</formula>
    </cfRule>
    <cfRule type="cellIs" dxfId="277" priority="14" operator="between">
      <formula>0.333333333333333</formula>
      <formula>0.375</formula>
    </cfRule>
  </conditionalFormatting>
  <conditionalFormatting sqref="D5:J9">
    <cfRule type="expression" dxfId="276" priority="6">
      <formula>$I5 &lt; TIME(12,0,0)</formula>
    </cfRule>
  </conditionalFormatting>
  <conditionalFormatting sqref="D5:J12">
    <cfRule type="cellIs" dxfId="275" priority="5" operator="between">
      <formula>0.291666666666667</formula>
      <formula>0.315972222222222</formula>
    </cfRule>
  </conditionalFormatting>
  <conditionalFormatting sqref="D13:J53">
    <cfRule type="cellIs" dxfId="274" priority="1" operator="between">
      <formula>0.291666666666667</formula>
      <formula>0.315972222222222</formula>
    </cfRule>
    <cfRule type="expression" dxfId="273" priority="2">
      <formula>$I13 &lt; TIME(12,0,0)</formula>
    </cfRule>
  </conditionalFormatting>
  <conditionalFormatting sqref="D54:J58">
    <cfRule type="cellIs" dxfId="272" priority="13" operator="between">
      <formula>0.291666666666667</formula>
      <formula>0.315972222222222</formula>
    </cfRule>
  </conditionalFormatting>
  <conditionalFormatting sqref="D59:J60">
    <cfRule type="cellIs" dxfId="271" priority="9" operator="between">
      <formula>0.291666666666667</formula>
      <formula>0.315972222222222</formula>
    </cfRule>
    <cfRule type="expression" dxfId="270" priority="10">
      <formula>$I59 &lt; TIME(12,0,0)</formula>
    </cfRule>
  </conditionalFormatting>
  <conditionalFormatting sqref="G10">
    <cfRule type="cellIs" dxfId="269" priority="3" operator="between">
      <formula>0.875694444444444</formula>
      <formula>0.978472222222222</formula>
    </cfRule>
  </conditionalFormatting>
  <conditionalFormatting sqref="G56">
    <cfRule type="cellIs" dxfId="268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2C6B-B0FD-40D3-A018-778CCB504555}">
  <dimension ref="A2:M80"/>
  <sheetViews>
    <sheetView workbookViewId="0">
      <pane ySplit="3" topLeftCell="A22" activePane="bottomLeft" state="frozen"/>
      <selection pane="bottomLeft" activeCell="L29" sqref="L29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3" t="s">
        <v>0</v>
      </c>
      <c r="D3" s="33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/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0.37847222222222227</v>
      </c>
      <c r="E13" s="6"/>
      <c r="F13" s="6"/>
      <c r="G13" s="7">
        <v>0.71111111111111114</v>
      </c>
      <c r="I13" s="9">
        <f t="shared" si="0"/>
        <v>0.33263888888888887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0.3125</v>
      </c>
      <c r="E14" s="6"/>
      <c r="F14" s="6"/>
      <c r="G14" s="7">
        <v>0.67847222222222225</v>
      </c>
      <c r="I14" s="9">
        <f t="shared" si="0"/>
        <v>0.36597222222222225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0.45624999999999999</v>
      </c>
      <c r="E17" s="6">
        <v>0.6479166666666667</v>
      </c>
      <c r="F17" s="6">
        <v>0.71319444444444446</v>
      </c>
      <c r="G17" s="26">
        <v>46254.12777777778</v>
      </c>
      <c r="I17" s="9">
        <f t="shared" si="0"/>
        <v>46253.671527777777</v>
      </c>
      <c r="J17" s="9">
        <f t="shared" si="1"/>
        <v>46253.606250000004</v>
      </c>
      <c r="K17" s="8">
        <f t="shared" si="2"/>
        <v>6.5277777772280388E-2</v>
      </c>
    </row>
    <row r="18" spans="1:12" x14ac:dyDescent="0.25">
      <c r="A18" s="2">
        <v>14</v>
      </c>
      <c r="B18" s="20">
        <v>23</v>
      </c>
      <c r="C18" s="5" t="s">
        <v>36</v>
      </c>
      <c r="D18" s="6">
        <v>0.44722222222222219</v>
      </c>
      <c r="E18" s="6">
        <v>0.64652777777777781</v>
      </c>
      <c r="F18" s="6"/>
      <c r="G18" s="26">
        <v>46254.12777777778</v>
      </c>
      <c r="I18" s="9">
        <f t="shared" si="0"/>
        <v>46253.680555555555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0.30972222222222223</v>
      </c>
      <c r="E21" s="6">
        <v>0.49305555555555558</v>
      </c>
      <c r="F21" s="6">
        <v>0.55902777777777779</v>
      </c>
      <c r="G21" s="7">
        <v>0.87361111111111101</v>
      </c>
      <c r="I21" s="9">
        <f t="shared" si="0"/>
        <v>0.56388888888888877</v>
      </c>
      <c r="J21" s="9">
        <f t="shared" si="1"/>
        <v>0.49791666666666656</v>
      </c>
      <c r="K21" s="8">
        <f t="shared" si="2"/>
        <v>6.597222222222221E-2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0.31527777777777777</v>
      </c>
      <c r="E23" s="6">
        <v>0.53819444444444442</v>
      </c>
      <c r="F23" s="6">
        <v>0.60347222222222219</v>
      </c>
      <c r="G23" s="7">
        <v>0.88124999999999998</v>
      </c>
      <c r="I23" s="9">
        <f t="shared" si="0"/>
        <v>0.56597222222222221</v>
      </c>
      <c r="J23" s="9">
        <f t="shared" si="1"/>
        <v>0.50069444444444444</v>
      </c>
      <c r="K23" s="8">
        <f t="shared" si="2"/>
        <v>6.5277777777777768E-2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0.52013888888888882</v>
      </c>
      <c r="E27" s="6"/>
      <c r="F27" s="6"/>
      <c r="G27" s="7">
        <v>0.875</v>
      </c>
      <c r="I27" s="9">
        <f t="shared" si="0"/>
        <v>0.35486111111111118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0.31180555555555556</v>
      </c>
      <c r="E28" s="6"/>
      <c r="F28" s="6"/>
      <c r="G28" s="7">
        <v>0.8833333333333333</v>
      </c>
      <c r="I28" s="9">
        <f t="shared" si="0"/>
        <v>0.57152777777777775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  <c r="L30" t="s">
        <v>89</v>
      </c>
    </row>
    <row r="31" spans="1:12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3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3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72</v>
      </c>
      <c r="C35" s="17" t="s">
        <v>45</v>
      </c>
      <c r="D35" s="6">
        <v>0.63750000000000007</v>
      </c>
      <c r="E35" s="6"/>
      <c r="F35" s="6"/>
      <c r="G35" s="7">
        <v>0.89027777777777783</v>
      </c>
      <c r="I35" s="9">
        <f t="shared" si="0"/>
        <v>0.25277777777777777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  <c r="M36">
        <v>0.5</v>
      </c>
    </row>
    <row r="37" spans="1:13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3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3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3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3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0.52430555555555558</v>
      </c>
      <c r="E42" s="6"/>
      <c r="F42" s="6"/>
      <c r="G42" s="26">
        <v>46254.128472222219</v>
      </c>
      <c r="I42" s="9">
        <f t="shared" si="0"/>
        <v>46253.604166666664</v>
      </c>
      <c r="J42" s="9" t="str">
        <f t="shared" si="1"/>
        <v>-</v>
      </c>
      <c r="K42" s="8" t="e">
        <f t="shared" si="2"/>
        <v>#VALUE!</v>
      </c>
    </row>
    <row r="43" spans="1:13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/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3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  <c r="M44">
        <v>0.5</v>
      </c>
    </row>
    <row r="45" spans="1:13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116</v>
      </c>
      <c r="C46" s="17" t="s">
        <v>86</v>
      </c>
      <c r="D46" s="6"/>
      <c r="E46" s="6"/>
      <c r="F46" s="6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3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3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  <c r="M51">
        <v>1.5</v>
      </c>
    </row>
    <row r="52" spans="1:13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3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3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>
        <v>0.3430555555555555</v>
      </c>
      <c r="E60" s="6"/>
      <c r="F60" s="6"/>
      <c r="G60" s="7">
        <v>0.68194444444444446</v>
      </c>
      <c r="I60" s="9">
        <f t="shared" si="0"/>
        <v>0.33888888888888896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3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6"/>
      <c r="F65" s="6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0.32569444444444445</v>
      </c>
      <c r="E66" s="6">
        <v>0.54305555555555551</v>
      </c>
      <c r="F66" s="6">
        <v>0.56597222222222221</v>
      </c>
      <c r="G66" s="6">
        <v>0.66805555555555562</v>
      </c>
      <c r="I66" s="9">
        <f t="shared" si="0"/>
        <v>0.34236111111111117</v>
      </c>
      <c r="J66" s="9">
        <f t="shared" si="1"/>
        <v>0.31944444444444448</v>
      </c>
      <c r="K66" s="8">
        <f t="shared" si="2"/>
        <v>2.2916666666666696E-2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6"/>
      <c r="F69" s="6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80" si="3">IF(AND(D70 &lt;&gt; "", G70 &lt;&gt; ""), G70 - D70, "-")</f>
        <v>-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/>
      <c r="G72" s="3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0.52430555555555558</v>
      </c>
      <c r="E73" s="6"/>
      <c r="F73" s="6"/>
      <c r="G73" s="38">
        <v>46254.12777777778</v>
      </c>
      <c r="I73" s="9">
        <f t="shared" si="3"/>
        <v>46253.603472222225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/>
      <c r="E80" s="1"/>
      <c r="F80" s="1"/>
      <c r="G80" s="6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67" priority="18">
      <formula>$I5 &lt; TIME(12,0,0)</formula>
    </cfRule>
  </conditionalFormatting>
  <conditionalFormatting sqref="A5:A80 I61:J80">
    <cfRule type="cellIs" dxfId="266" priority="17" operator="between">
      <formula>0.291666666666667</formula>
      <formula>0.315972222222222</formula>
    </cfRule>
  </conditionalFormatting>
  <conditionalFormatting sqref="C5:C18 C26:C27">
    <cfRule type="expression" priority="19" stopIfTrue="1">
      <formula>COUNTIF($E$1:$E$91,C5)&gt;1</formula>
    </cfRule>
    <cfRule type="expression" priority="20" stopIfTrue="1">
      <formula>COUNTIF($E$1:$E$95,C5)&gt;1</formula>
    </cfRule>
  </conditionalFormatting>
  <conditionalFormatting sqref="C19:C25 C28:C29 C32 C34:C72">
    <cfRule type="expression" priority="21" stopIfTrue="1">
      <formula>COUNTIF($D$1:$D$82,C19)&gt;1</formula>
    </cfRule>
    <cfRule type="expression" priority="22" stopIfTrue="1">
      <formula>COUNTIF($D$1:$D$86,C19)&gt;1</formula>
    </cfRule>
  </conditionalFormatting>
  <conditionalFormatting sqref="C30:C31 C33">
    <cfRule type="expression" priority="23" stopIfTrue="1">
      <formula>COUNTIF($E$1:$E$90,C30)&gt;1</formula>
    </cfRule>
    <cfRule type="expression" priority="24" stopIfTrue="1">
      <formula>COUNTIF($E$1:$E$94,C30)&gt;1</formula>
    </cfRule>
  </conditionalFormatting>
  <conditionalFormatting sqref="C73:C80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265" priority="6" operator="between">
      <formula>0.333333333333333</formula>
      <formula>0.375</formula>
    </cfRule>
  </conditionalFormatting>
  <conditionalFormatting sqref="D56:G56">
    <cfRule type="cellIs" dxfId="264" priority="14" operator="between">
      <formula>0.875694444444444</formula>
      <formula>0.999305555555556</formula>
    </cfRule>
    <cfRule type="cellIs" dxfId="263" priority="16" operator="between">
      <formula>0.333333333333333</formula>
      <formula>0.375</formula>
    </cfRule>
  </conditionalFormatting>
  <conditionalFormatting sqref="D5:J9">
    <cfRule type="expression" dxfId="262" priority="8">
      <formula>$I5 &lt; TIME(12,0,0)</formula>
    </cfRule>
  </conditionalFormatting>
  <conditionalFormatting sqref="D5:J12">
    <cfRule type="cellIs" dxfId="261" priority="7" operator="between">
      <formula>0.291666666666667</formula>
      <formula>0.315972222222222</formula>
    </cfRule>
  </conditionalFormatting>
  <conditionalFormatting sqref="D13:J53">
    <cfRule type="cellIs" dxfId="260" priority="1" operator="between">
      <formula>0.291666666666667</formula>
      <formula>0.315972222222222</formula>
    </cfRule>
    <cfRule type="expression" dxfId="259" priority="2">
      <formula>$I13 &lt; TIME(12,0,0)</formula>
    </cfRule>
  </conditionalFormatting>
  <conditionalFormatting sqref="D54:J58">
    <cfRule type="cellIs" dxfId="258" priority="15" operator="between">
      <formula>0.291666666666667</formula>
      <formula>0.315972222222222</formula>
    </cfRule>
  </conditionalFormatting>
  <conditionalFormatting sqref="D59:J60">
    <cfRule type="cellIs" dxfId="257" priority="11" operator="between">
      <formula>0.291666666666667</formula>
      <formula>0.315972222222222</formula>
    </cfRule>
    <cfRule type="expression" dxfId="256" priority="12">
      <formula>$I59 &lt; TIME(12,0,0)</formula>
    </cfRule>
  </conditionalFormatting>
  <conditionalFormatting sqref="G10">
    <cfRule type="cellIs" dxfId="255" priority="5" operator="between">
      <formula>0.875694444444444</formula>
      <formula>0.978472222222222</formula>
    </cfRule>
  </conditionalFormatting>
  <conditionalFormatting sqref="G56">
    <cfRule type="cellIs" dxfId="254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4C67-52AE-4901-B7D9-81CB5C61D821}">
  <dimension ref="A2:M80"/>
  <sheetViews>
    <sheetView workbookViewId="0">
      <pane ySplit="3" topLeftCell="A40" activePane="bottomLeft" state="frozen"/>
      <selection pane="bottomLeft" activeCell="G61" sqref="G61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3" t="s">
        <v>0</v>
      </c>
      <c r="D3" s="33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0.31944444444444448</v>
      </c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0.47361111111111115</v>
      </c>
      <c r="F10" s="6">
        <v>0.52222222222222225</v>
      </c>
      <c r="G10" s="7">
        <v>0.875</v>
      </c>
      <c r="I10" s="9">
        <f t="shared" si="0"/>
        <v>0.56319444444444444</v>
      </c>
      <c r="J10" s="9">
        <f t="shared" si="1"/>
        <v>0.51458333333333339</v>
      </c>
      <c r="K10" s="8">
        <f t="shared" si="2"/>
        <v>4.8611111111111049E-2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0.33611111111111108</v>
      </c>
      <c r="E11" s="6"/>
      <c r="F11" s="6"/>
      <c r="G11" s="7">
        <v>0.84236111111111101</v>
      </c>
      <c r="I11" s="9">
        <f t="shared" si="0"/>
        <v>0.50624999999999987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0.31388888888888888</v>
      </c>
      <c r="E12" s="6">
        <v>0.64513888888888882</v>
      </c>
      <c r="F12" s="6">
        <v>0.70416666666666661</v>
      </c>
      <c r="G12" s="7">
        <v>0.87083333333333324</v>
      </c>
      <c r="I12" s="9">
        <f t="shared" si="0"/>
        <v>0.55694444444444435</v>
      </c>
      <c r="J12" s="9">
        <f t="shared" si="1"/>
        <v>0.49791666666666656</v>
      </c>
      <c r="K12" s="8">
        <f t="shared" si="2"/>
        <v>5.902777777777779E-2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>
        <v>0.70833333333333337</v>
      </c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0.31180555555555556</v>
      </c>
      <c r="E14" s="6">
        <v>0.63194444444444442</v>
      </c>
      <c r="F14" s="6">
        <v>0.65347222222222223</v>
      </c>
      <c r="G14" s="7">
        <v>0.66597222222222219</v>
      </c>
      <c r="I14" s="9">
        <f t="shared" si="0"/>
        <v>0.35416666666666663</v>
      </c>
      <c r="J14" s="9">
        <f t="shared" si="1"/>
        <v>0.33263888888888882</v>
      </c>
      <c r="K14" s="8">
        <f t="shared" si="2"/>
        <v>2.1527777777777812E-2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0.33958333333333335</v>
      </c>
      <c r="E15" s="6">
        <v>0.49027777777777781</v>
      </c>
      <c r="F15" s="6">
        <v>0.58472222222222225</v>
      </c>
      <c r="G15" s="7">
        <v>0.86736111111111114</v>
      </c>
      <c r="I15" s="9">
        <f t="shared" si="0"/>
        <v>0.52777777777777779</v>
      </c>
      <c r="J15" s="9">
        <f t="shared" si="1"/>
        <v>0.43333333333333335</v>
      </c>
      <c r="K15" s="8">
        <f t="shared" si="2"/>
        <v>9.4444444444444442E-2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0.42222222222222222</v>
      </c>
      <c r="E17" s="6">
        <v>0.60416666666666663</v>
      </c>
      <c r="F17" s="6">
        <v>0.6694444444444444</v>
      </c>
      <c r="G17" s="26">
        <v>46253.152083333334</v>
      </c>
      <c r="I17" s="9">
        <f t="shared" si="0"/>
        <v>46252.729861111111</v>
      </c>
      <c r="J17" s="9">
        <f t="shared" si="1"/>
        <v>46252.664583333331</v>
      </c>
      <c r="K17" s="8">
        <f t="shared" si="2"/>
        <v>6.5277777779556345E-2</v>
      </c>
    </row>
    <row r="18" spans="1:12" x14ac:dyDescent="0.25">
      <c r="A18" s="2">
        <v>14</v>
      </c>
      <c r="B18" s="20">
        <v>23</v>
      </c>
      <c r="C18" s="5" t="s">
        <v>36</v>
      </c>
      <c r="D18" s="6">
        <v>0.3125</v>
      </c>
      <c r="E18" s="6">
        <v>0.58333333333333337</v>
      </c>
      <c r="F18" s="6">
        <v>0.65069444444444446</v>
      </c>
      <c r="G18" s="26">
        <v>46253.152083333334</v>
      </c>
      <c r="I18" s="9">
        <f t="shared" si="0"/>
        <v>46252.839583333334</v>
      </c>
      <c r="J18" s="9">
        <f t="shared" si="1"/>
        <v>46252.772222222229</v>
      </c>
      <c r="K18" s="8">
        <f t="shared" si="2"/>
        <v>6.7361111105128657E-2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0.31458333333333333</v>
      </c>
      <c r="E20" s="6">
        <v>0.56666666666666665</v>
      </c>
      <c r="F20" s="6">
        <v>0.63750000000000007</v>
      </c>
      <c r="G20" s="7">
        <v>0.9</v>
      </c>
      <c r="I20" s="9">
        <f t="shared" si="0"/>
        <v>0.5854166666666667</v>
      </c>
      <c r="J20" s="9">
        <f t="shared" si="1"/>
        <v>0.51458333333333328</v>
      </c>
      <c r="K20" s="8">
        <f t="shared" si="2"/>
        <v>7.0833333333333415E-2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0.30972222222222223</v>
      </c>
      <c r="E21" s="6">
        <v>0.51597222222222217</v>
      </c>
      <c r="F21" s="6">
        <v>0.58194444444444449</v>
      </c>
      <c r="G21" s="7">
        <v>0.87430555555555556</v>
      </c>
      <c r="I21" s="9">
        <f t="shared" si="0"/>
        <v>0.56458333333333333</v>
      </c>
      <c r="J21" s="9">
        <f t="shared" si="1"/>
        <v>0.49861111111111101</v>
      </c>
      <c r="K21" s="8">
        <f t="shared" si="2"/>
        <v>6.5972222222222321E-2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0.32013888888888892</v>
      </c>
      <c r="E22" s="6">
        <v>0.47986111111111113</v>
      </c>
      <c r="F22" s="6">
        <v>0.56388888888888888</v>
      </c>
      <c r="G22" s="7">
        <v>0.87708333333333333</v>
      </c>
      <c r="I22" s="9">
        <f t="shared" si="0"/>
        <v>0.55694444444444446</v>
      </c>
      <c r="J22" s="9">
        <f t="shared" si="1"/>
        <v>0.47291666666666665</v>
      </c>
      <c r="K22" s="8">
        <f t="shared" si="2"/>
        <v>8.4027777777777812E-2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0.31597222222222221</v>
      </c>
      <c r="E23" s="6">
        <v>0.59583333333333333</v>
      </c>
      <c r="F23" s="6">
        <v>0.66249999999999998</v>
      </c>
      <c r="G23" s="7">
        <v>0.87777777777777777</v>
      </c>
      <c r="I23" s="9">
        <f t="shared" si="0"/>
        <v>0.56180555555555556</v>
      </c>
      <c r="J23" s="9">
        <f t="shared" si="1"/>
        <v>0.49513888888888891</v>
      </c>
      <c r="K23" s="8">
        <f t="shared" si="2"/>
        <v>6.6666666666666652E-2</v>
      </c>
    </row>
    <row r="24" spans="1:12" x14ac:dyDescent="0.25">
      <c r="A24" s="2">
        <v>20</v>
      </c>
      <c r="B24" s="21">
        <v>32</v>
      </c>
      <c r="C24" s="19" t="s">
        <v>17</v>
      </c>
      <c r="D24" s="6">
        <v>0.32361111111111113</v>
      </c>
      <c r="E24" s="6">
        <v>0.51736111111111105</v>
      </c>
      <c r="F24" s="6">
        <v>0.58958333333333335</v>
      </c>
      <c r="G24" s="7">
        <v>0.88541666666666663</v>
      </c>
      <c r="I24" s="9">
        <f t="shared" si="0"/>
        <v>0.56180555555555545</v>
      </c>
      <c r="J24" s="9">
        <f t="shared" si="1"/>
        <v>0.4895833333333332</v>
      </c>
      <c r="K24" s="8">
        <f t="shared" si="2"/>
        <v>7.2222222222222243E-2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0.57777777777777783</v>
      </c>
      <c r="E27" s="6"/>
      <c r="F27" s="6"/>
      <c r="G27" s="26">
        <v>46253.152777777781</v>
      </c>
      <c r="I27" s="9">
        <f t="shared" si="0"/>
        <v>46252.575000000004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0.31111111111111112</v>
      </c>
      <c r="E28" s="6"/>
      <c r="F28" s="6"/>
      <c r="G28" s="7">
        <v>0.87777777777777777</v>
      </c>
      <c r="I28" s="9">
        <f t="shared" si="0"/>
        <v>0.56666666666666665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/>
      <c r="E29" s="6"/>
      <c r="F29" s="6"/>
      <c r="G29" s="7">
        <v>0.89722222222222225</v>
      </c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>
        <v>2.0833333333333332E-2</v>
      </c>
    </row>
    <row r="30" spans="1:12" x14ac:dyDescent="0.25">
      <c r="A30" s="2">
        <v>26</v>
      </c>
      <c r="B30" s="21">
        <v>44</v>
      </c>
      <c r="C30" s="19" t="s">
        <v>20</v>
      </c>
      <c r="D30" s="6">
        <v>0.31458333333333333</v>
      </c>
      <c r="E30" s="6">
        <v>0.53125</v>
      </c>
      <c r="F30" s="6">
        <v>0.59513888888888888</v>
      </c>
      <c r="G30" s="7">
        <v>0.87291666666666667</v>
      </c>
      <c r="I30" s="9">
        <f t="shared" si="0"/>
        <v>0.55833333333333335</v>
      </c>
      <c r="J30" s="9">
        <f t="shared" si="1"/>
        <v>0.49444444444444446</v>
      </c>
      <c r="K30" s="8">
        <f t="shared" si="2"/>
        <v>6.3888888888888884E-2</v>
      </c>
      <c r="L30" t="s">
        <v>89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0.31666666666666665</v>
      </c>
      <c r="E31" s="6">
        <v>0.5180555555555556</v>
      </c>
      <c r="F31" s="6">
        <v>0.5854166666666667</v>
      </c>
      <c r="G31" s="7">
        <v>0.875</v>
      </c>
      <c r="I31" s="9">
        <f t="shared" si="0"/>
        <v>0.55833333333333335</v>
      </c>
      <c r="J31" s="9">
        <f t="shared" si="1"/>
        <v>0.49097222222222225</v>
      </c>
      <c r="K31" s="8">
        <f t="shared" si="2"/>
        <v>6.7361111111111094E-2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0.30972222222222223</v>
      </c>
      <c r="E32" s="6"/>
      <c r="F32" s="6"/>
      <c r="G32" s="7">
        <v>0.87291666666666667</v>
      </c>
      <c r="I32" s="9">
        <f t="shared" si="0"/>
        <v>0.56319444444444444</v>
      </c>
      <c r="J32" s="9" t="str">
        <f t="shared" si="1"/>
        <v>-</v>
      </c>
      <c r="K32" s="8" t="e">
        <f t="shared" si="2"/>
        <v>#VALUE!</v>
      </c>
    </row>
    <row r="33" spans="1:13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3" x14ac:dyDescent="0.25">
      <c r="A34" s="2">
        <v>30</v>
      </c>
      <c r="B34" s="20">
        <v>69</v>
      </c>
      <c r="C34" s="17" t="s">
        <v>55</v>
      </c>
      <c r="D34" s="6">
        <v>0.4145833333333333</v>
      </c>
      <c r="E34" s="6"/>
      <c r="F34" s="6"/>
      <c r="G34" s="7">
        <v>0.7055555555555556</v>
      </c>
      <c r="I34" s="9">
        <f t="shared" si="0"/>
        <v>0.2909722222222223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  <c r="M36">
        <v>0.5</v>
      </c>
    </row>
    <row r="37" spans="1:13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3" x14ac:dyDescent="0.25">
      <c r="A38" s="2">
        <v>34</v>
      </c>
      <c r="B38" s="20">
        <v>77</v>
      </c>
      <c r="C38" s="17" t="s">
        <v>42</v>
      </c>
      <c r="D38" s="6">
        <v>0.55902777777777779</v>
      </c>
      <c r="E38" s="6"/>
      <c r="F38" s="6"/>
      <c r="G38" s="7">
        <v>0.92013888888888884</v>
      </c>
      <c r="I38" s="9">
        <f t="shared" si="0"/>
        <v>0.36111111111111105</v>
      </c>
      <c r="J38" s="9" t="str">
        <f t="shared" si="1"/>
        <v>-</v>
      </c>
      <c r="K38" s="8" t="e">
        <f t="shared" si="2"/>
        <v>#VALUE!</v>
      </c>
    </row>
    <row r="39" spans="1:13" x14ac:dyDescent="0.25">
      <c r="A39" s="2">
        <v>35</v>
      </c>
      <c r="B39" s="21">
        <v>83</v>
      </c>
      <c r="C39" s="19" t="s">
        <v>31</v>
      </c>
      <c r="D39" s="6">
        <v>0.31458333333333333</v>
      </c>
      <c r="E39" s="6">
        <v>0.59930555555555554</v>
      </c>
      <c r="F39" s="6">
        <v>0.7090277777777777</v>
      </c>
      <c r="G39" s="7">
        <v>0.88055555555555554</v>
      </c>
      <c r="I39" s="9">
        <f t="shared" si="0"/>
        <v>0.56597222222222221</v>
      </c>
      <c r="J39" s="9">
        <f t="shared" si="1"/>
        <v>0.45625000000000004</v>
      </c>
      <c r="K39" s="8">
        <f t="shared" si="2"/>
        <v>0.10972222222222217</v>
      </c>
    </row>
    <row r="40" spans="1:13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3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0.42083333333333334</v>
      </c>
      <c r="E42" s="6">
        <v>0.64513888888888882</v>
      </c>
      <c r="F42" s="6">
        <v>0.71250000000000002</v>
      </c>
      <c r="G42" s="26">
        <v>46253.152083333334</v>
      </c>
      <c r="I42" s="9">
        <f t="shared" si="0"/>
        <v>46252.731250000004</v>
      </c>
      <c r="J42" s="9">
        <f t="shared" si="1"/>
        <v>46252.663888888892</v>
      </c>
      <c r="K42" s="8">
        <f t="shared" si="2"/>
        <v>6.7361111112404615E-2</v>
      </c>
    </row>
    <row r="43" spans="1:13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0.9868055555555556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3" x14ac:dyDescent="0.25">
      <c r="A44" s="2">
        <v>40</v>
      </c>
      <c r="B44" s="20">
        <v>99</v>
      </c>
      <c r="C44" s="5" t="s">
        <v>13</v>
      </c>
      <c r="D44" s="6">
        <v>0.32500000000000001</v>
      </c>
      <c r="E44" s="6"/>
      <c r="F44" s="6"/>
      <c r="G44" s="7">
        <v>0.56874999999999998</v>
      </c>
      <c r="I44" s="9">
        <f t="shared" si="0"/>
        <v>0.24374999999999997</v>
      </c>
      <c r="J44" s="9" t="str">
        <f t="shared" si="1"/>
        <v>-</v>
      </c>
      <c r="K44" s="8" t="e">
        <f t="shared" si="2"/>
        <v>#VALUE!</v>
      </c>
      <c r="M44">
        <v>0.5</v>
      </c>
    </row>
    <row r="45" spans="1:13" x14ac:dyDescent="0.25">
      <c r="A45" s="2">
        <v>41</v>
      </c>
      <c r="B45" s="21">
        <v>115</v>
      </c>
      <c r="C45" s="17" t="s">
        <v>38</v>
      </c>
      <c r="D45" s="6">
        <v>0.52569444444444446</v>
      </c>
      <c r="E45" s="1"/>
      <c r="F45" s="1"/>
      <c r="G45" s="7">
        <v>0.89722222222222225</v>
      </c>
      <c r="I45" s="9">
        <f t="shared" si="0"/>
        <v>0.37152777777777779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116</v>
      </c>
      <c r="C46" s="17" t="s">
        <v>86</v>
      </c>
      <c r="D46" s="6">
        <v>0.52083333333333337</v>
      </c>
      <c r="E46" s="6">
        <v>0.68402777777777779</v>
      </c>
      <c r="F46" s="6">
        <v>0.70277777777777783</v>
      </c>
      <c r="G46" s="7">
        <v>0.87430555555555556</v>
      </c>
      <c r="I46" s="9">
        <f t="shared" si="0"/>
        <v>0.35347222222222219</v>
      </c>
      <c r="J46" s="9">
        <f t="shared" si="1"/>
        <v>0.33472222222222214</v>
      </c>
      <c r="K46" s="8">
        <f t="shared" si="2"/>
        <v>1.8750000000000044E-2</v>
      </c>
    </row>
    <row r="47" spans="1:13" x14ac:dyDescent="0.25">
      <c r="A47" s="2">
        <v>43</v>
      </c>
      <c r="B47" s="20">
        <v>117</v>
      </c>
      <c r="C47" s="17" t="s">
        <v>44</v>
      </c>
      <c r="D47" s="6">
        <v>0.5625</v>
      </c>
      <c r="E47" s="6"/>
      <c r="F47" s="6"/>
      <c r="G47" s="7">
        <v>0.91736111111111107</v>
      </c>
      <c r="I47" s="9">
        <f t="shared" si="0"/>
        <v>0.35486111111111107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>
        <v>0.31458333333333333</v>
      </c>
      <c r="E48" s="6">
        <v>0.55208333333333337</v>
      </c>
      <c r="F48" s="6">
        <v>0.625</v>
      </c>
      <c r="G48" s="7">
        <v>0.87152777777777779</v>
      </c>
      <c r="I48" s="9">
        <f t="shared" si="0"/>
        <v>0.55694444444444446</v>
      </c>
      <c r="J48" s="9">
        <f t="shared" si="1"/>
        <v>0.48402777777777783</v>
      </c>
      <c r="K48" s="8">
        <f t="shared" si="2"/>
        <v>7.291666666666663E-2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0.3125</v>
      </c>
      <c r="E49" s="6"/>
      <c r="F49" s="6"/>
      <c r="G49" s="7">
        <v>0.8125</v>
      </c>
      <c r="I49" s="9">
        <f t="shared" si="0"/>
        <v>0.5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>
        <v>0.88611111111111107</v>
      </c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>
        <v>0.31319444444444444</v>
      </c>
      <c r="E51" s="6"/>
      <c r="F51" s="6"/>
      <c r="G51" s="7">
        <v>0.67291666666666661</v>
      </c>
      <c r="I51" s="9">
        <f t="shared" si="0"/>
        <v>0.35972222222222217</v>
      </c>
      <c r="J51" s="9" t="str">
        <f t="shared" si="1"/>
        <v>-</v>
      </c>
      <c r="K51" s="8" t="e">
        <f t="shared" si="2"/>
        <v>#VALUE!</v>
      </c>
      <c r="M51">
        <v>1.5</v>
      </c>
    </row>
    <row r="52" spans="1:13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3" x14ac:dyDescent="0.25">
      <c r="A53" s="2">
        <v>49</v>
      </c>
      <c r="B53" s="21">
        <v>145</v>
      </c>
      <c r="C53" s="19" t="s">
        <v>48</v>
      </c>
      <c r="D53" s="6">
        <v>0.31527777777777777</v>
      </c>
      <c r="E53" s="6">
        <v>0.51527777777777783</v>
      </c>
      <c r="F53" s="6">
        <v>0.70833333333333337</v>
      </c>
      <c r="G53" s="7">
        <v>0.87430555555555556</v>
      </c>
      <c r="I53" s="9">
        <f t="shared" si="0"/>
        <v>0.55902777777777779</v>
      </c>
      <c r="J53" s="9">
        <f t="shared" si="1"/>
        <v>0.36597222222222225</v>
      </c>
      <c r="K53" s="8">
        <f t="shared" si="2"/>
        <v>0.19305555555555554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0.3125</v>
      </c>
      <c r="E54" s="6">
        <v>0.57986111111111105</v>
      </c>
      <c r="F54" s="6">
        <v>0.64861111111111114</v>
      </c>
      <c r="G54" s="7">
        <v>0.87638888888888899</v>
      </c>
      <c r="I54" s="9">
        <f t="shared" si="0"/>
        <v>0.56388888888888899</v>
      </c>
      <c r="J54" s="9">
        <f t="shared" si="1"/>
        <v>0.49513888888888891</v>
      </c>
      <c r="K54" s="8">
        <f t="shared" si="2"/>
        <v>6.8750000000000089E-2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>
        <v>0.31597222222222221</v>
      </c>
      <c r="E56" s="6">
        <v>0.78680555555555554</v>
      </c>
      <c r="F56" s="6">
        <v>0.85138888888888886</v>
      </c>
      <c r="G56" s="7">
        <v>0.87361111111111101</v>
      </c>
      <c r="I56" s="9">
        <f t="shared" si="0"/>
        <v>0.5576388888888888</v>
      </c>
      <c r="J56" s="9">
        <f t="shared" si="1"/>
        <v>0.49305555555555547</v>
      </c>
      <c r="K56" s="8">
        <f t="shared" si="2"/>
        <v>6.4583333333333326E-2</v>
      </c>
    </row>
    <row r="57" spans="1:13" x14ac:dyDescent="0.25">
      <c r="A57" s="2">
        <v>53</v>
      </c>
      <c r="B57" s="21">
        <v>156</v>
      </c>
      <c r="C57" s="19" t="s">
        <v>67</v>
      </c>
      <c r="D57" s="6">
        <v>0.31319444444444444</v>
      </c>
      <c r="E57" s="6">
        <v>0.58472222222222225</v>
      </c>
      <c r="F57" s="6">
        <v>0.65277777777777779</v>
      </c>
      <c r="G57" s="7">
        <v>0.86805555555555547</v>
      </c>
      <c r="I57" s="9">
        <f t="shared" si="0"/>
        <v>0.55486111111111103</v>
      </c>
      <c r="J57" s="9">
        <f t="shared" si="1"/>
        <v>0.48680555555555549</v>
      </c>
      <c r="K57" s="8">
        <f t="shared" si="2"/>
        <v>6.8055555555555536E-2</v>
      </c>
    </row>
    <row r="58" spans="1:13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>
        <v>0.3354166666666667</v>
      </c>
      <c r="E60" s="6"/>
      <c r="F60" s="6"/>
      <c r="G60" s="7">
        <v>0.69652777777777775</v>
      </c>
      <c r="I60" s="9">
        <f t="shared" si="0"/>
        <v>0.36111111111111105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>
        <v>0.31944444444444448</v>
      </c>
      <c r="E61" s="6">
        <v>0.59375</v>
      </c>
      <c r="F61" s="6">
        <v>0.64722222222222225</v>
      </c>
      <c r="G61" s="7">
        <v>0.8847222222222223</v>
      </c>
      <c r="I61" s="9">
        <f t="shared" si="0"/>
        <v>0.56527777777777777</v>
      </c>
      <c r="J61" s="9">
        <f t="shared" si="1"/>
        <v>0.51180555555555562</v>
      </c>
      <c r="K61" s="8">
        <f t="shared" si="2"/>
        <v>5.3472222222222143E-2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0.53541666666666665</v>
      </c>
      <c r="E63" s="6"/>
      <c r="F63" s="6"/>
      <c r="G63" s="7">
        <v>0.9159722222222223</v>
      </c>
      <c r="I63" s="9">
        <f t="shared" si="0"/>
        <v>0.38055555555555565</v>
      </c>
      <c r="J63" s="9" t="str">
        <f t="shared" si="1"/>
        <v>-</v>
      </c>
      <c r="K63" s="8" t="e">
        <f t="shared" si="2"/>
        <v>#VALUE!</v>
      </c>
    </row>
    <row r="64" spans="1:13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0.30902777777777779</v>
      </c>
      <c r="E65" s="6">
        <v>0.47916666666666669</v>
      </c>
      <c r="F65" s="6">
        <v>0.54027777777777775</v>
      </c>
      <c r="G65" s="6">
        <v>0.87013888888888891</v>
      </c>
      <c r="I65" s="9">
        <f t="shared" si="0"/>
        <v>0.56111111111111112</v>
      </c>
      <c r="J65" s="9">
        <f t="shared" si="1"/>
        <v>0.5</v>
      </c>
      <c r="K65" s="8">
        <f t="shared" si="2"/>
        <v>6.1111111111111116E-2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0.32291666666666669</v>
      </c>
      <c r="E66" s="1"/>
      <c r="F66" s="1"/>
      <c r="G66" s="6">
        <v>0.6743055555555556</v>
      </c>
      <c r="I66" s="9">
        <f t="shared" si="0"/>
        <v>0.35138888888888892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0.31319444444444444</v>
      </c>
      <c r="E67" s="6">
        <v>0.54513888888888895</v>
      </c>
      <c r="F67" s="6">
        <v>0.56597222222222221</v>
      </c>
      <c r="G67" s="6">
        <v>0.66666666666666663</v>
      </c>
      <c r="I67" s="9">
        <f t="shared" si="0"/>
        <v>0.35347222222222219</v>
      </c>
      <c r="J67" s="9">
        <f t="shared" si="1"/>
        <v>0.33263888888888893</v>
      </c>
      <c r="K67" s="8">
        <f t="shared" si="2"/>
        <v>2.0833333333333259E-2</v>
      </c>
    </row>
    <row r="68" spans="1:11" x14ac:dyDescent="0.25">
      <c r="A68" s="2">
        <v>64</v>
      </c>
      <c r="B68" s="20">
        <v>179</v>
      </c>
      <c r="C68" s="17" t="s">
        <v>63</v>
      </c>
      <c r="D68" s="6">
        <v>0.5229166666666667</v>
      </c>
      <c r="E68" s="1"/>
      <c r="F68" s="1"/>
      <c r="G68" s="6">
        <v>0.88124999999999998</v>
      </c>
      <c r="I68" s="9">
        <f t="shared" si="0"/>
        <v>0.35833333333333328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0.52500000000000002</v>
      </c>
      <c r="E69" s="6">
        <v>0.64166666666666672</v>
      </c>
      <c r="F69" s="6">
        <v>0.66249999999999998</v>
      </c>
      <c r="G69" s="6">
        <v>0.87291666666666667</v>
      </c>
      <c r="I69" s="9">
        <f t="shared" si="0"/>
        <v>0.34791666666666665</v>
      </c>
      <c r="J69" s="9">
        <f t="shared" si="1"/>
        <v>0.32708333333333339</v>
      </c>
      <c r="K69" s="8">
        <f t="shared" si="2"/>
        <v>2.0833333333333259E-2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0.31388888888888888</v>
      </c>
      <c r="E70" s="6"/>
      <c r="F70" s="6"/>
      <c r="G70" s="6">
        <v>0.6694444444444444</v>
      </c>
      <c r="I70" s="9">
        <f t="shared" ref="I70:I80" si="3">IF(AND(D70 &lt;&gt; "", G70 &lt;&gt; ""), G70 - D70, "-")</f>
        <v>0.35555555555555551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0.52361111111111114</v>
      </c>
      <c r="E72" s="35"/>
      <c r="F72" s="35"/>
      <c r="G72" s="35">
        <v>0.88124999999999998</v>
      </c>
      <c r="I72" s="9">
        <f t="shared" si="3"/>
        <v>0.35763888888888884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0.42083333333333334</v>
      </c>
      <c r="E73" s="6">
        <v>0.64513888888888882</v>
      </c>
      <c r="F73" s="6">
        <v>0.71250000000000002</v>
      </c>
      <c r="G73" s="38">
        <v>46253.152083333334</v>
      </c>
      <c r="I73" s="9">
        <f t="shared" si="3"/>
        <v>46252.731250000004</v>
      </c>
      <c r="J73" s="9">
        <f t="shared" si="4"/>
        <v>46252.663888888892</v>
      </c>
      <c r="K73" s="8">
        <f t="shared" si="5"/>
        <v>6.7361111112404615E-2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>
        <v>0.52222222222222225</v>
      </c>
      <c r="E80" s="1"/>
      <c r="F80" s="1"/>
      <c r="G80" s="6">
        <v>0.89097222222222217</v>
      </c>
      <c r="I80" s="9">
        <f t="shared" si="3"/>
        <v>0.36874999999999991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53" priority="16">
      <formula>$I5 &lt; TIME(12,0,0)</formula>
    </cfRule>
  </conditionalFormatting>
  <conditionalFormatting sqref="A5:A80 I61:J80">
    <cfRule type="cellIs" dxfId="252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251" priority="4" operator="between">
      <formula>0.333333333333333</formula>
      <formula>0.375</formula>
    </cfRule>
  </conditionalFormatting>
  <conditionalFormatting sqref="D56:G56">
    <cfRule type="cellIs" dxfId="250" priority="12" operator="between">
      <formula>0.875694444444444</formula>
      <formula>0.999305555555556</formula>
    </cfRule>
    <cfRule type="cellIs" dxfId="249" priority="14" operator="between">
      <formula>0.333333333333333</formula>
      <formula>0.375</formula>
    </cfRule>
  </conditionalFormatting>
  <conditionalFormatting sqref="D5:J9">
    <cfRule type="expression" dxfId="248" priority="6">
      <formula>$I5 &lt; TIME(12,0,0)</formula>
    </cfRule>
  </conditionalFormatting>
  <conditionalFormatting sqref="D5:J12">
    <cfRule type="cellIs" dxfId="247" priority="5" operator="between">
      <formula>0.291666666666667</formula>
      <formula>0.315972222222222</formula>
    </cfRule>
  </conditionalFormatting>
  <conditionalFormatting sqref="D13:J53">
    <cfRule type="cellIs" dxfId="246" priority="1" operator="between">
      <formula>0.291666666666667</formula>
      <formula>0.315972222222222</formula>
    </cfRule>
    <cfRule type="expression" dxfId="245" priority="2">
      <formula>$I13 &lt; TIME(12,0,0)</formula>
    </cfRule>
  </conditionalFormatting>
  <conditionalFormatting sqref="D54:J58">
    <cfRule type="cellIs" dxfId="244" priority="13" operator="between">
      <formula>0.291666666666667</formula>
      <formula>0.315972222222222</formula>
    </cfRule>
  </conditionalFormatting>
  <conditionalFormatting sqref="D59:J60">
    <cfRule type="cellIs" dxfId="243" priority="9" operator="between">
      <formula>0.291666666666667</formula>
      <formula>0.315972222222222</formula>
    </cfRule>
    <cfRule type="expression" dxfId="242" priority="10">
      <formula>$I59 &lt; TIME(12,0,0)</formula>
    </cfRule>
  </conditionalFormatting>
  <conditionalFormatting sqref="G10">
    <cfRule type="cellIs" dxfId="241" priority="3" operator="between">
      <formula>0.875694444444444</formula>
      <formula>0.978472222222222</formula>
    </cfRule>
  </conditionalFormatting>
  <conditionalFormatting sqref="G56">
    <cfRule type="cellIs" dxfId="240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401-94AB-489D-8BC5-C62AEBDC275C}">
  <dimension ref="A2:M80"/>
  <sheetViews>
    <sheetView workbookViewId="0">
      <pane ySplit="3" topLeftCell="A40" activePane="bottomLeft" state="frozen"/>
      <selection pane="bottomLeft" activeCell="D47" sqref="D47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0.31805555555555554</v>
      </c>
      <c r="E7" s="6">
        <v>0.60138888888888886</v>
      </c>
      <c r="F7" s="6">
        <v>0.66597222222222219</v>
      </c>
      <c r="G7" s="7">
        <v>0.87847222222222221</v>
      </c>
      <c r="I7" s="9">
        <f t="shared" si="0"/>
        <v>0.56041666666666667</v>
      </c>
      <c r="J7" s="9">
        <f t="shared" si="1"/>
        <v>0.49583333333333335</v>
      </c>
      <c r="K7" s="8">
        <f t="shared" si="2"/>
        <v>6.4583333333333326E-2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0.3034722222222222</v>
      </c>
      <c r="E10" s="6"/>
      <c r="F10" s="6"/>
      <c r="G10" s="7"/>
      <c r="I10" s="9" t="str">
        <f t="shared" si="0"/>
        <v>-</v>
      </c>
      <c r="J10" s="9" t="str">
        <f t="shared" si="1"/>
        <v>-</v>
      </c>
      <c r="K10" s="8" t="e">
        <f t="shared" si="2"/>
        <v>#VALUE!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0.3354166666666667</v>
      </c>
      <c r="E11" s="6">
        <v>0.55069444444444449</v>
      </c>
      <c r="F11" s="6">
        <v>0.61597222222222225</v>
      </c>
      <c r="G11" s="7">
        <v>0.83680555555555547</v>
      </c>
      <c r="I11" s="9">
        <f t="shared" si="0"/>
        <v>0.50138888888888877</v>
      </c>
      <c r="J11" s="9">
        <f t="shared" si="1"/>
        <v>0.43611111111111101</v>
      </c>
      <c r="K11" s="8">
        <f t="shared" si="2"/>
        <v>6.5277777777777768E-2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0.31180555555555556</v>
      </c>
      <c r="E12" s="6">
        <v>0.4861111111111111</v>
      </c>
      <c r="F12" s="6">
        <v>0.54861111111111105</v>
      </c>
      <c r="G12" s="7">
        <v>0.87152777777777779</v>
      </c>
      <c r="I12" s="9">
        <f t="shared" si="0"/>
        <v>0.55972222222222223</v>
      </c>
      <c r="J12" s="9">
        <f t="shared" si="1"/>
        <v>0.49722222222222229</v>
      </c>
      <c r="K12" s="8">
        <f t="shared" si="2"/>
        <v>6.2499999999999944E-2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0.37638888888888888</v>
      </c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0.3298611111111111</v>
      </c>
      <c r="E15" s="6">
        <v>0.52013888888888882</v>
      </c>
      <c r="F15" s="6">
        <v>0.61111111111111105</v>
      </c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0.31319444444444444</v>
      </c>
      <c r="E17" s="6">
        <v>0.55833333333333335</v>
      </c>
      <c r="F17" s="6">
        <v>0.62430555555555556</v>
      </c>
      <c r="G17" s="26">
        <v>46252.134027777778</v>
      </c>
      <c r="I17" s="9">
        <f t="shared" si="0"/>
        <v>46251.820833333331</v>
      </c>
      <c r="J17" s="9">
        <f t="shared" si="1"/>
        <v>46251.754861111112</v>
      </c>
      <c r="K17" s="8">
        <f t="shared" si="2"/>
        <v>6.5972222218988463E-2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0.31458333333333333</v>
      </c>
      <c r="E20" s="6">
        <v>0.52569444444444446</v>
      </c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0.30972222222222223</v>
      </c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0.31805555555555554</v>
      </c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/>
      <c r="E27" s="6"/>
      <c r="F27" s="6"/>
      <c r="G27" s="7"/>
      <c r="I27" s="9" t="str">
        <f t="shared" si="0"/>
        <v>-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0.31041666666666667</v>
      </c>
      <c r="E28" s="6"/>
      <c r="F28" s="6"/>
      <c r="G28" s="7">
        <v>0.87638888888888899</v>
      </c>
      <c r="I28" s="9">
        <f t="shared" si="0"/>
        <v>0.56597222222222232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17" t="s">
        <v>16</v>
      </c>
      <c r="D29" s="6">
        <v>0.51736111111111105</v>
      </c>
      <c r="E29" s="6">
        <v>0.59097222222222223</v>
      </c>
      <c r="F29" s="6">
        <v>0.61597222222222225</v>
      </c>
      <c r="G29" s="7">
        <v>0.89722222222222225</v>
      </c>
      <c r="I29" s="9">
        <f t="shared" si="0"/>
        <v>0.3798611111111112</v>
      </c>
      <c r="J29" s="9">
        <f t="shared" si="1"/>
        <v>0.35486111111111118</v>
      </c>
      <c r="K29" s="8">
        <f t="shared" si="2"/>
        <v>2.5000000000000022E-2</v>
      </c>
      <c r="L29" s="8">
        <v>2.0833333333333332E-2</v>
      </c>
    </row>
    <row r="30" spans="1:12" x14ac:dyDescent="0.25">
      <c r="A30" s="2">
        <v>26</v>
      </c>
      <c r="B30" s="21">
        <v>44</v>
      </c>
      <c r="C30" s="19" t="s">
        <v>20</v>
      </c>
      <c r="D30" s="6">
        <v>0.30972222222222223</v>
      </c>
      <c r="E30" s="6">
        <v>0.56111111111111112</v>
      </c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  <c r="L30" t="s">
        <v>89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0.3125</v>
      </c>
      <c r="E31" s="6">
        <v>0.55208333333333337</v>
      </c>
      <c r="F31" s="6">
        <v>0.61875000000000002</v>
      </c>
      <c r="G31" s="7">
        <v>0.87291666666666667</v>
      </c>
      <c r="I31" s="9">
        <f t="shared" si="0"/>
        <v>0.56041666666666667</v>
      </c>
      <c r="J31" s="9">
        <f t="shared" si="1"/>
        <v>0.49375000000000002</v>
      </c>
      <c r="K31" s="8">
        <f t="shared" si="2"/>
        <v>6.6666666666666652E-2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0.31597222222222221</v>
      </c>
      <c r="E32" s="6"/>
      <c r="F32" s="6"/>
      <c r="G32" s="7">
        <v>0.94930555555555562</v>
      </c>
      <c r="I32" s="9">
        <f t="shared" si="0"/>
        <v>0.63333333333333341</v>
      </c>
      <c r="J32" s="9" t="str">
        <f t="shared" si="1"/>
        <v>-</v>
      </c>
      <c r="K32" s="8" t="e">
        <f t="shared" si="2"/>
        <v>#VALUE!</v>
      </c>
    </row>
    <row r="33" spans="1:13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3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1">
        <v>75</v>
      </c>
      <c r="C36" s="19" t="s">
        <v>34</v>
      </c>
      <c r="D36" s="6">
        <v>0.31875000000000003</v>
      </c>
      <c r="E36" s="6">
        <v>0.57638888888888895</v>
      </c>
      <c r="F36" s="6"/>
      <c r="G36" s="7">
        <v>0.57638888888888895</v>
      </c>
      <c r="I36" s="9">
        <f t="shared" si="0"/>
        <v>0.25763888888888892</v>
      </c>
      <c r="J36" s="9" t="str">
        <f t="shared" si="1"/>
        <v>-</v>
      </c>
      <c r="K36" s="8" t="e">
        <f t="shared" si="2"/>
        <v>#VALUE!</v>
      </c>
      <c r="M36">
        <v>0.5</v>
      </c>
    </row>
    <row r="37" spans="1:13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3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3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3" x14ac:dyDescent="0.25">
      <c r="A40" s="2">
        <v>36</v>
      </c>
      <c r="B40" s="21">
        <v>86</v>
      </c>
      <c r="C40" s="17" t="s">
        <v>85</v>
      </c>
      <c r="D40" s="6">
        <v>0.3125</v>
      </c>
      <c r="E40" s="6"/>
      <c r="F40" s="6"/>
      <c r="G40" s="7">
        <v>0.69166666666666676</v>
      </c>
      <c r="I40" s="9">
        <f t="shared" si="0"/>
        <v>0.37916666666666676</v>
      </c>
      <c r="J40" s="9" t="str">
        <f t="shared" si="1"/>
        <v>-</v>
      </c>
      <c r="K40" s="8" t="e">
        <f t="shared" si="2"/>
        <v>#VALUE!</v>
      </c>
    </row>
    <row r="41" spans="1:13" x14ac:dyDescent="0.25">
      <c r="A41" s="2">
        <v>37</v>
      </c>
      <c r="B41" s="21">
        <v>87</v>
      </c>
      <c r="C41" s="19" t="s">
        <v>47</v>
      </c>
      <c r="D41" s="6">
        <v>0.31666666666666665</v>
      </c>
      <c r="E41" s="6">
        <v>0.47500000000000003</v>
      </c>
      <c r="F41" s="6">
        <v>0.54097222222222219</v>
      </c>
      <c r="G41" s="7">
        <v>0.87222222222222223</v>
      </c>
      <c r="I41" s="9">
        <f t="shared" si="0"/>
        <v>0.55555555555555558</v>
      </c>
      <c r="J41" s="9">
        <f t="shared" si="1"/>
        <v>0.48958333333333343</v>
      </c>
      <c r="K41" s="8">
        <f t="shared" si="2"/>
        <v>6.5972222222222154E-2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0.31736111111111115</v>
      </c>
      <c r="E42" s="6">
        <v>0.55347222222222225</v>
      </c>
      <c r="F42" s="6">
        <v>0.63472222222222219</v>
      </c>
      <c r="G42" s="26">
        <v>46252.134027777778</v>
      </c>
      <c r="I42" s="9">
        <f t="shared" si="0"/>
        <v>46251.816666666666</v>
      </c>
      <c r="J42" s="9">
        <f t="shared" si="1"/>
        <v>46251.735416666663</v>
      </c>
      <c r="K42" s="8">
        <f t="shared" si="2"/>
        <v>8.1250000002910383E-2</v>
      </c>
    </row>
    <row r="43" spans="1:13" x14ac:dyDescent="0.25">
      <c r="A43" s="2">
        <v>39</v>
      </c>
      <c r="B43" s="20">
        <v>91</v>
      </c>
      <c r="C43" s="18" t="s">
        <v>37</v>
      </c>
      <c r="D43" s="6">
        <v>0.42499999999999999</v>
      </c>
      <c r="E43" s="6"/>
      <c r="F43" s="6"/>
      <c r="G43" s="26">
        <v>46252.137499999997</v>
      </c>
      <c r="I43" s="9">
        <f t="shared" si="0"/>
        <v>46251.712499999994</v>
      </c>
      <c r="J43" s="9" t="str">
        <f t="shared" si="1"/>
        <v>-</v>
      </c>
      <c r="K43" s="8" t="e">
        <f t="shared" si="2"/>
        <v>#VALUE!</v>
      </c>
      <c r="L43" s="8">
        <v>0.22222222222222221</v>
      </c>
    </row>
    <row r="44" spans="1:13" x14ac:dyDescent="0.25">
      <c r="A44" s="2">
        <v>40</v>
      </c>
      <c r="B44" s="20">
        <v>99</v>
      </c>
      <c r="C44" s="5" t="s">
        <v>13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  <c r="L44" s="8"/>
    </row>
    <row r="45" spans="1:13" x14ac:dyDescent="0.25">
      <c r="A45" s="2">
        <v>41</v>
      </c>
      <c r="B45" s="21">
        <v>115</v>
      </c>
      <c r="C45" s="17" t="s">
        <v>38</v>
      </c>
      <c r="D45" s="6">
        <v>0.56597222222222221</v>
      </c>
      <c r="E45" s="1"/>
      <c r="F45" s="1"/>
      <c r="G45" s="7">
        <v>0.95000000000000007</v>
      </c>
      <c r="I45" s="9">
        <f t="shared" si="0"/>
        <v>0.38402777777777786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3" x14ac:dyDescent="0.25">
      <c r="A47" s="2">
        <v>43</v>
      </c>
      <c r="B47" s="20">
        <v>117</v>
      </c>
      <c r="C47" s="17" t="s">
        <v>44</v>
      </c>
      <c r="D47" s="6">
        <v>0.56597222222222221</v>
      </c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>
        <v>0.31388888888888888</v>
      </c>
      <c r="E48" s="6">
        <v>0.39444444444444443</v>
      </c>
      <c r="F48" s="6">
        <v>0.46458333333333335</v>
      </c>
      <c r="G48" s="7">
        <v>0.87013888888888891</v>
      </c>
      <c r="I48" s="9">
        <f t="shared" si="0"/>
        <v>0.55625000000000002</v>
      </c>
      <c r="J48" s="9">
        <f t="shared" si="1"/>
        <v>0.4861111111111111</v>
      </c>
      <c r="K48" s="8">
        <f t="shared" si="2"/>
        <v>7.0138888888888917E-2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0.30416666666666664</v>
      </c>
      <c r="E49" s="6"/>
      <c r="F49" s="6"/>
      <c r="G49" s="7">
        <v>0.82986111111111116</v>
      </c>
      <c r="I49" s="9">
        <f t="shared" si="0"/>
        <v>0.52569444444444446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>
        <v>0.32222222222222224</v>
      </c>
      <c r="E51" s="6"/>
      <c r="F51" s="6"/>
      <c r="G51" s="7">
        <v>0.82708333333333339</v>
      </c>
      <c r="I51" s="9">
        <f t="shared" si="0"/>
        <v>0.5048611111111112</v>
      </c>
      <c r="J51" s="9" t="str">
        <f t="shared" si="1"/>
        <v>-</v>
      </c>
      <c r="K51" s="8" t="e">
        <f t="shared" si="2"/>
        <v>#VALUE!</v>
      </c>
      <c r="M51">
        <v>1.5</v>
      </c>
    </row>
    <row r="52" spans="1:13" x14ac:dyDescent="0.25">
      <c r="A52" s="2">
        <v>48</v>
      </c>
      <c r="B52" s="21">
        <v>143</v>
      </c>
      <c r="C52" s="19" t="s">
        <v>21</v>
      </c>
      <c r="D52" s="6">
        <v>0.31805555555555554</v>
      </c>
      <c r="E52" s="6" t="s">
        <v>89</v>
      </c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0.31388888888888888</v>
      </c>
      <c r="E54" s="6">
        <v>0.57777777777777783</v>
      </c>
      <c r="F54" s="6">
        <v>0.64722222222222225</v>
      </c>
      <c r="G54" s="7">
        <v>0.87361111111111101</v>
      </c>
      <c r="I54" s="9">
        <f t="shared" si="0"/>
        <v>0.55972222222222212</v>
      </c>
      <c r="J54" s="9">
        <f t="shared" si="1"/>
        <v>0.4902777777777777</v>
      </c>
      <c r="K54" s="8">
        <f t="shared" si="2"/>
        <v>6.944444444444442E-2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3" x14ac:dyDescent="0.25">
      <c r="A57" s="2">
        <v>53</v>
      </c>
      <c r="B57" s="21">
        <v>156</v>
      </c>
      <c r="C57" s="19" t="s">
        <v>67</v>
      </c>
      <c r="D57" s="6">
        <v>0.31458333333333333</v>
      </c>
      <c r="E57" s="6">
        <v>0.58402777777777781</v>
      </c>
      <c r="F57" s="6">
        <v>0.64930555555555558</v>
      </c>
      <c r="G57" s="7">
        <v>0.86736111111111114</v>
      </c>
      <c r="I57" s="9">
        <f t="shared" si="0"/>
        <v>0.55277777777777781</v>
      </c>
      <c r="J57" s="9">
        <f t="shared" si="1"/>
        <v>0.48750000000000004</v>
      </c>
      <c r="K57" s="8">
        <f t="shared" si="2"/>
        <v>6.5277777777777768E-2</v>
      </c>
    </row>
    <row r="58" spans="1:13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>
        <v>0.3444444444444445</v>
      </c>
      <c r="E60" s="6"/>
      <c r="F60" s="6"/>
      <c r="G60" s="7">
        <v>0.69166666666666676</v>
      </c>
      <c r="I60" s="9">
        <f t="shared" si="0"/>
        <v>0.34722222222222227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3" x14ac:dyDescent="0.25">
      <c r="A62" s="2">
        <v>58</v>
      </c>
      <c r="B62" s="20">
        <v>165</v>
      </c>
      <c r="C62" s="17" t="s">
        <v>56</v>
      </c>
      <c r="D62" s="6">
        <v>0.31875000000000003</v>
      </c>
      <c r="E62" s="6"/>
      <c r="F62" s="6"/>
      <c r="G62" s="7">
        <v>0.70138888888888884</v>
      </c>
      <c r="I62" s="9">
        <f t="shared" si="0"/>
        <v>0.38263888888888881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0.31597222222222221</v>
      </c>
      <c r="E63" s="6">
        <v>0.59652777777777777</v>
      </c>
      <c r="F63" s="6">
        <v>0.6645833333333333</v>
      </c>
      <c r="G63" s="26">
        <v>46252</v>
      </c>
      <c r="I63" s="9">
        <f t="shared" si="0"/>
        <v>46251.684027777781</v>
      </c>
      <c r="J63" s="9">
        <f t="shared" si="1"/>
        <v>46251.615972222222</v>
      </c>
      <c r="K63" s="8">
        <f t="shared" si="2"/>
        <v>6.805555555911269E-2</v>
      </c>
    </row>
    <row r="64" spans="1:13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1"/>
      <c r="F65" s="1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0.31527777777777777</v>
      </c>
      <c r="E69" s="6">
        <v>0.60763888888888895</v>
      </c>
      <c r="F69" s="1"/>
      <c r="G69" s="6">
        <v>0.6694444444444444</v>
      </c>
      <c r="I69" s="9">
        <f t="shared" si="0"/>
        <v>0.35416666666666663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0.51736111111111105</v>
      </c>
      <c r="E70" s="6">
        <v>0.78333333333333333</v>
      </c>
      <c r="F70" s="6">
        <v>0.80486111111111114</v>
      </c>
      <c r="G70" s="6">
        <v>0.875</v>
      </c>
      <c r="I70" s="9">
        <f t="shared" ref="I70:I80" si="3">IF(AND(D70 &lt;&gt; "", G70 &lt;&gt; ""), G70 - D70, "-")</f>
        <v>0.35763888888888895</v>
      </c>
      <c r="J70" s="9">
        <f t="shared" ref="J70:J80" si="4">IF(AND(D70 &lt;&gt; "", E70 &lt;&gt; "", F70 &lt;&gt; "", G70 &lt;&gt; ""), (E70 - D70)  + (G70 - F70), "-")</f>
        <v>0.33611111111111114</v>
      </c>
      <c r="K70" s="8">
        <f t="shared" ref="K70:K80" si="5">SUM(I70-J70)</f>
        <v>2.1527777777777812E-2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/>
      <c r="E72" s="35"/>
      <c r="F72" s="35">
        <v>0.87083333333333324</v>
      </c>
      <c r="G72" s="35">
        <v>0.8833333333333333</v>
      </c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0.31736111111111115</v>
      </c>
      <c r="E73" s="6">
        <v>0.55347222222222225</v>
      </c>
      <c r="F73" s="6">
        <v>0.63472222222222219</v>
      </c>
      <c r="G73" s="38">
        <v>46252.134027777778</v>
      </c>
      <c r="I73" s="9">
        <f t="shared" si="3"/>
        <v>46251.816666666666</v>
      </c>
      <c r="J73" s="9">
        <f t="shared" si="4"/>
        <v>46251.735416666663</v>
      </c>
      <c r="K73" s="8">
        <f t="shared" si="5"/>
        <v>8.1250000002910383E-2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>
        <v>0.52083333333333337</v>
      </c>
      <c r="E80" s="1"/>
      <c r="F80" s="1"/>
      <c r="G80" s="6">
        <v>0.87847222222222221</v>
      </c>
      <c r="I80" s="9">
        <f t="shared" si="3"/>
        <v>0.35763888888888884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39" priority="16">
      <formula>$I5 &lt; TIME(12,0,0)</formula>
    </cfRule>
  </conditionalFormatting>
  <conditionalFormatting sqref="A5:A80 I61:J80">
    <cfRule type="cellIs" dxfId="238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237" priority="4" operator="between">
      <formula>0.333333333333333</formula>
      <formula>0.375</formula>
    </cfRule>
  </conditionalFormatting>
  <conditionalFormatting sqref="D56:G56">
    <cfRule type="cellIs" dxfId="236" priority="12" operator="between">
      <formula>0.875694444444444</formula>
      <formula>0.999305555555556</formula>
    </cfRule>
    <cfRule type="cellIs" dxfId="235" priority="14" operator="between">
      <formula>0.333333333333333</formula>
      <formula>0.375</formula>
    </cfRule>
  </conditionalFormatting>
  <conditionalFormatting sqref="D5:J9">
    <cfRule type="expression" dxfId="234" priority="6">
      <formula>$I5 &lt; TIME(12,0,0)</formula>
    </cfRule>
  </conditionalFormatting>
  <conditionalFormatting sqref="D5:J12">
    <cfRule type="cellIs" dxfId="233" priority="5" operator="between">
      <formula>0.291666666666667</formula>
      <formula>0.315972222222222</formula>
    </cfRule>
  </conditionalFormatting>
  <conditionalFormatting sqref="D13:J53">
    <cfRule type="cellIs" dxfId="232" priority="1" operator="between">
      <formula>0.291666666666667</formula>
      <formula>0.315972222222222</formula>
    </cfRule>
    <cfRule type="expression" dxfId="231" priority="2">
      <formula>$I13 &lt; TIME(12,0,0)</formula>
    </cfRule>
  </conditionalFormatting>
  <conditionalFormatting sqref="D54:J58">
    <cfRule type="cellIs" dxfId="230" priority="13" operator="between">
      <formula>0.291666666666667</formula>
      <formula>0.315972222222222</formula>
    </cfRule>
  </conditionalFormatting>
  <conditionalFormatting sqref="D59:J60">
    <cfRule type="cellIs" dxfId="229" priority="9" operator="between">
      <formula>0.291666666666667</formula>
      <formula>0.315972222222222</formula>
    </cfRule>
    <cfRule type="expression" dxfId="228" priority="10">
      <formula>$I59 &lt; TIME(12,0,0)</formula>
    </cfRule>
  </conditionalFormatting>
  <conditionalFormatting sqref="G10">
    <cfRule type="cellIs" dxfId="227" priority="3" operator="between">
      <formula>0.875694444444444</formula>
      <formula>0.978472222222222</formula>
    </cfRule>
  </conditionalFormatting>
  <conditionalFormatting sqref="G56">
    <cfRule type="cellIs" dxfId="226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CC97-3EBA-4978-BCA9-BE9563A300B1}">
  <dimension ref="A2:M80"/>
  <sheetViews>
    <sheetView workbookViewId="0">
      <pane ySplit="3" topLeftCell="A49" activePane="bottomLeft" state="frozen"/>
      <selection pane="bottomLeft" activeCell="G50" sqref="G50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3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3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3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3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3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3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3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3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3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0.6333333333333333</v>
      </c>
      <c r="F10" s="6">
        <v>0.69444444444444453</v>
      </c>
      <c r="G10" s="7">
        <v>0.87291666666666667</v>
      </c>
      <c r="I10" s="9">
        <f t="shared" si="0"/>
        <v>0.56111111111111112</v>
      </c>
      <c r="J10" s="9">
        <f t="shared" si="1"/>
        <v>0.49999999999999989</v>
      </c>
      <c r="K10" s="8">
        <f t="shared" si="2"/>
        <v>6.1111111111111227E-2</v>
      </c>
    </row>
    <row r="11" spans="1:13" x14ac:dyDescent="0.25">
      <c r="A11" s="2">
        <v>7</v>
      </c>
      <c r="B11" s="20">
        <v>12</v>
      </c>
      <c r="C11" s="5" t="s">
        <v>7</v>
      </c>
      <c r="D11" s="6">
        <v>0.3430555555555555</v>
      </c>
      <c r="E11" s="6">
        <v>0.52708333333333335</v>
      </c>
      <c r="F11" s="6">
        <v>0.59305555555555556</v>
      </c>
      <c r="G11" s="7">
        <v>0.85</v>
      </c>
      <c r="I11" s="9">
        <f t="shared" si="0"/>
        <v>0.50694444444444442</v>
      </c>
      <c r="J11" s="9">
        <f t="shared" si="1"/>
        <v>0.44097222222222227</v>
      </c>
      <c r="K11" s="8">
        <f t="shared" si="2"/>
        <v>6.5972222222222154E-2</v>
      </c>
    </row>
    <row r="12" spans="1:13" x14ac:dyDescent="0.25">
      <c r="A12" s="2">
        <v>8</v>
      </c>
      <c r="B12" s="20">
        <v>13</v>
      </c>
      <c r="C12" s="19" t="s">
        <v>33</v>
      </c>
      <c r="D12" s="6">
        <v>0.31180555555555556</v>
      </c>
      <c r="E12" s="6"/>
      <c r="F12" s="6"/>
      <c r="G12" s="7">
        <v>0.62777777777777777</v>
      </c>
      <c r="I12" s="9">
        <f t="shared" si="0"/>
        <v>0.31597222222222221</v>
      </c>
      <c r="J12" s="9" t="str">
        <f t="shared" si="1"/>
        <v>-</v>
      </c>
      <c r="K12" s="8" t="e">
        <f t="shared" si="2"/>
        <v>#VALUE!</v>
      </c>
      <c r="M12">
        <v>0.5</v>
      </c>
    </row>
    <row r="13" spans="1:13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3" x14ac:dyDescent="0.25">
      <c r="A14" s="2">
        <v>10</v>
      </c>
      <c r="B14" s="20">
        <v>15</v>
      </c>
      <c r="C14" s="17" t="s">
        <v>43</v>
      </c>
      <c r="D14" s="6">
        <v>0.51736111111111105</v>
      </c>
      <c r="E14" s="6">
        <v>0.63888888888888895</v>
      </c>
      <c r="F14" s="6">
        <v>0.65694444444444444</v>
      </c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3" x14ac:dyDescent="0.25">
      <c r="A15" s="2">
        <v>11</v>
      </c>
      <c r="B15" s="20">
        <v>17</v>
      </c>
      <c r="C15" s="5" t="s">
        <v>54</v>
      </c>
      <c r="D15" s="6">
        <v>0.3263888888888889</v>
      </c>
      <c r="E15" s="6">
        <v>0.59722222222222221</v>
      </c>
      <c r="F15" s="6"/>
      <c r="G15" s="7">
        <v>0.59722222222222221</v>
      </c>
      <c r="I15" s="9">
        <f t="shared" si="0"/>
        <v>0.27083333333333331</v>
      </c>
      <c r="J15" s="9" t="str">
        <f t="shared" si="1"/>
        <v>-</v>
      </c>
      <c r="K15" s="8" t="e">
        <f t="shared" si="2"/>
        <v>#VALUE!</v>
      </c>
      <c r="L15">
        <v>0.5</v>
      </c>
    </row>
    <row r="16" spans="1:13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0.66875000000000007</v>
      </c>
      <c r="F16" s="6">
        <v>0.73125000000000007</v>
      </c>
      <c r="G16" s="7">
        <v>0.8340277777777777</v>
      </c>
      <c r="I16" s="9">
        <f t="shared" si="0"/>
        <v>0.52083333333333326</v>
      </c>
      <c r="J16" s="9">
        <f t="shared" si="1"/>
        <v>0.45833333333333326</v>
      </c>
      <c r="K16" s="8">
        <f t="shared" si="2"/>
        <v>6.25E-2</v>
      </c>
    </row>
    <row r="17" spans="1:13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7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3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3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3" x14ac:dyDescent="0.25">
      <c r="A20" s="2">
        <v>16</v>
      </c>
      <c r="B20" s="20">
        <v>25</v>
      </c>
      <c r="C20" s="5" t="s">
        <v>41</v>
      </c>
      <c r="D20" s="6">
        <v>0.31527777777777777</v>
      </c>
      <c r="E20" s="6">
        <v>0.61805555555555558</v>
      </c>
      <c r="F20" s="6">
        <v>0.69097222222222221</v>
      </c>
      <c r="G20" s="7">
        <v>0.87638888888888899</v>
      </c>
      <c r="I20" s="9">
        <f t="shared" si="0"/>
        <v>0.56111111111111123</v>
      </c>
      <c r="J20" s="9">
        <f t="shared" si="1"/>
        <v>0.4881944444444446</v>
      </c>
      <c r="K20" s="8">
        <f t="shared" si="2"/>
        <v>7.291666666666663E-2</v>
      </c>
    </row>
    <row r="21" spans="1:13" x14ac:dyDescent="0.25">
      <c r="A21" s="2">
        <v>17</v>
      </c>
      <c r="B21" s="21">
        <v>29</v>
      </c>
      <c r="C21" s="19" t="s">
        <v>19</v>
      </c>
      <c r="D21" s="6">
        <v>0.31180555555555556</v>
      </c>
      <c r="E21" s="6">
        <v>0.52916666666666667</v>
      </c>
      <c r="F21" s="6">
        <v>0.59375</v>
      </c>
      <c r="G21" s="7">
        <v>0.87569444444444444</v>
      </c>
      <c r="I21" s="9">
        <f t="shared" si="0"/>
        <v>0.56388888888888888</v>
      </c>
      <c r="J21" s="9">
        <f t="shared" si="1"/>
        <v>0.49930555555555556</v>
      </c>
      <c r="K21" s="8">
        <f t="shared" si="2"/>
        <v>6.4583333333333326E-2</v>
      </c>
    </row>
    <row r="22" spans="1:13" x14ac:dyDescent="0.25">
      <c r="A22" s="2">
        <v>18</v>
      </c>
      <c r="B22" s="20">
        <v>30</v>
      </c>
      <c r="C22" s="5" t="s">
        <v>30</v>
      </c>
      <c r="D22" s="6">
        <v>0.31666666666666665</v>
      </c>
      <c r="E22" s="6">
        <v>0.52847222222222223</v>
      </c>
      <c r="F22" s="6"/>
      <c r="G22" s="7">
        <v>0.88750000000000007</v>
      </c>
      <c r="I22" s="9">
        <f t="shared" si="0"/>
        <v>0.57083333333333341</v>
      </c>
      <c r="J22" s="9" t="str">
        <f t="shared" si="1"/>
        <v>-</v>
      </c>
      <c r="K22" s="8" t="e">
        <f t="shared" si="2"/>
        <v>#VALUE!</v>
      </c>
    </row>
    <row r="23" spans="1:13" x14ac:dyDescent="0.25">
      <c r="A23" s="2">
        <v>19</v>
      </c>
      <c r="B23" s="20">
        <v>31</v>
      </c>
      <c r="C23" s="5" t="s">
        <v>14</v>
      </c>
      <c r="D23" s="6">
        <v>0.31597222222222221</v>
      </c>
      <c r="E23" s="6">
        <v>0.62986111111111109</v>
      </c>
      <c r="F23" s="6">
        <v>0.69861111111111107</v>
      </c>
      <c r="G23" s="7">
        <v>0.87708333333333333</v>
      </c>
      <c r="I23" s="9">
        <f t="shared" si="0"/>
        <v>0.56111111111111112</v>
      </c>
      <c r="J23" s="9">
        <f t="shared" si="1"/>
        <v>0.49236111111111114</v>
      </c>
      <c r="K23" s="8">
        <f t="shared" si="2"/>
        <v>6.8749999999999978E-2</v>
      </c>
    </row>
    <row r="24" spans="1:13" x14ac:dyDescent="0.25">
      <c r="A24" s="2">
        <v>20</v>
      </c>
      <c r="B24" s="21">
        <v>32</v>
      </c>
      <c r="C24" s="19" t="s">
        <v>17</v>
      </c>
      <c r="D24" s="6">
        <v>0.31736111111111115</v>
      </c>
      <c r="E24" s="6">
        <v>0.45902777777777781</v>
      </c>
      <c r="F24" s="6">
        <v>0.52361111111111114</v>
      </c>
      <c r="G24" s="7">
        <v>0.87430555555555556</v>
      </c>
      <c r="I24" s="9">
        <f t="shared" si="0"/>
        <v>0.55694444444444446</v>
      </c>
      <c r="J24" s="9">
        <f t="shared" si="1"/>
        <v>0.49236111111111108</v>
      </c>
      <c r="K24" s="8">
        <f t="shared" si="2"/>
        <v>6.4583333333333381E-2</v>
      </c>
    </row>
    <row r="25" spans="1:13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3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3" x14ac:dyDescent="0.25">
      <c r="A27" s="2">
        <v>23</v>
      </c>
      <c r="B27" s="20">
        <v>35</v>
      </c>
      <c r="C27" s="5" t="s">
        <v>5</v>
      </c>
      <c r="D27" s="6">
        <v>0.32291666666666669</v>
      </c>
      <c r="E27" s="6">
        <v>0.7006944444444444</v>
      </c>
      <c r="F27" s="6"/>
      <c r="G27" s="7">
        <v>0.875</v>
      </c>
      <c r="I27" s="9">
        <f t="shared" si="0"/>
        <v>0.55208333333333326</v>
      </c>
      <c r="J27" s="9" t="str">
        <f t="shared" si="1"/>
        <v>-</v>
      </c>
      <c r="K27" s="8" t="e">
        <f t="shared" si="2"/>
        <v>#VALUE!</v>
      </c>
      <c r="L27" s="8"/>
    </row>
    <row r="28" spans="1:13" x14ac:dyDescent="0.25">
      <c r="A28" s="2">
        <v>24</v>
      </c>
      <c r="B28" s="20">
        <v>38</v>
      </c>
      <c r="C28" s="5" t="s">
        <v>57</v>
      </c>
      <c r="D28" s="6">
        <v>0.31041666666666667</v>
      </c>
      <c r="E28" s="6"/>
      <c r="F28" s="6"/>
      <c r="G28" s="7">
        <v>0.97430555555555554</v>
      </c>
      <c r="I28" s="9">
        <f t="shared" si="0"/>
        <v>0.66388888888888886</v>
      </c>
      <c r="J28" s="9" t="str">
        <f t="shared" si="1"/>
        <v>-</v>
      </c>
      <c r="K28" s="8" t="e">
        <f t="shared" si="2"/>
        <v>#VALUE!</v>
      </c>
      <c r="L28" s="8"/>
      <c r="M28" s="8">
        <v>9.7222222222222224E-2</v>
      </c>
    </row>
    <row r="29" spans="1:13" x14ac:dyDescent="0.25">
      <c r="A29" s="2">
        <v>25</v>
      </c>
      <c r="B29" s="20">
        <v>40</v>
      </c>
      <c r="C29" s="5" t="s">
        <v>16</v>
      </c>
      <c r="D29" s="6">
        <v>0.31180555555555556</v>
      </c>
      <c r="E29" s="6">
        <v>0.51111111111111118</v>
      </c>
      <c r="F29" s="6">
        <v>0.57847222222222217</v>
      </c>
      <c r="G29" s="7">
        <v>0.9</v>
      </c>
      <c r="I29" s="9">
        <f t="shared" si="0"/>
        <v>0.58819444444444446</v>
      </c>
      <c r="J29" s="9">
        <f t="shared" si="1"/>
        <v>0.52083333333333348</v>
      </c>
      <c r="K29" s="8">
        <f t="shared" si="2"/>
        <v>6.7361111111110983E-2</v>
      </c>
      <c r="L29" s="8">
        <v>2.4305555555555556E-2</v>
      </c>
      <c r="M29">
        <v>1.5</v>
      </c>
    </row>
    <row r="30" spans="1:13" x14ac:dyDescent="0.25">
      <c r="A30" s="2">
        <v>26</v>
      </c>
      <c r="B30" s="21">
        <v>44</v>
      </c>
      <c r="C30" s="19" t="s">
        <v>20</v>
      </c>
      <c r="D30" s="6">
        <v>0.31041666666666667</v>
      </c>
      <c r="E30" s="6">
        <v>0.51180555555555551</v>
      </c>
      <c r="F30" s="6">
        <v>0.57708333333333328</v>
      </c>
      <c r="G30" s="7">
        <v>0.87569444444444444</v>
      </c>
      <c r="I30" s="9">
        <f t="shared" si="0"/>
        <v>0.56527777777777777</v>
      </c>
      <c r="J30" s="9">
        <f t="shared" si="1"/>
        <v>0.5</v>
      </c>
      <c r="K30" s="8">
        <f t="shared" si="2"/>
        <v>6.5277777777777768E-2</v>
      </c>
    </row>
    <row r="31" spans="1:13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3" x14ac:dyDescent="0.25">
      <c r="A32" s="2">
        <v>28</v>
      </c>
      <c r="B32" s="21">
        <v>58</v>
      </c>
      <c r="C32" s="19" t="s">
        <v>18</v>
      </c>
      <c r="D32" s="6">
        <v>0.31041666666666667</v>
      </c>
      <c r="E32" s="6">
        <v>0.58124999999999993</v>
      </c>
      <c r="F32" s="6">
        <v>0.6479166666666667</v>
      </c>
      <c r="G32" s="7">
        <v>0.88194444444444453</v>
      </c>
      <c r="I32" s="9">
        <f t="shared" si="0"/>
        <v>0.57152777777777786</v>
      </c>
      <c r="J32" s="9">
        <f t="shared" si="1"/>
        <v>0.50486111111111109</v>
      </c>
      <c r="K32" s="8">
        <f t="shared" si="2"/>
        <v>6.6666666666666763E-2</v>
      </c>
    </row>
    <row r="33" spans="1:12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2" x14ac:dyDescent="0.25">
      <c r="A34" s="2">
        <v>30</v>
      </c>
      <c r="B34" s="20">
        <v>69</v>
      </c>
      <c r="C34" s="17" t="s">
        <v>55</v>
      </c>
      <c r="D34" s="6">
        <v>0.41111111111111115</v>
      </c>
      <c r="E34" s="6"/>
      <c r="F34" s="6"/>
      <c r="G34" s="7">
        <v>0.64027777777777783</v>
      </c>
      <c r="I34" s="9">
        <f t="shared" si="0"/>
        <v>0.22916666666666669</v>
      </c>
      <c r="J34" s="9" t="str">
        <f t="shared" si="1"/>
        <v>-</v>
      </c>
      <c r="K34" s="8" t="e">
        <f t="shared" si="2"/>
        <v>#VALUE!</v>
      </c>
    </row>
    <row r="35" spans="1:12" x14ac:dyDescent="0.25">
      <c r="A35" s="2">
        <v>31</v>
      </c>
      <c r="B35" s="20">
        <v>72</v>
      </c>
      <c r="C35" s="17" t="s">
        <v>45</v>
      </c>
      <c r="D35" s="6">
        <v>0.51250000000000007</v>
      </c>
      <c r="E35" s="6"/>
      <c r="F35" s="6"/>
      <c r="G35" s="7">
        <v>0.78333333333333333</v>
      </c>
      <c r="I35" s="9">
        <f t="shared" si="0"/>
        <v>0.27083333333333326</v>
      </c>
      <c r="J35" s="9" t="str">
        <f t="shared" si="1"/>
        <v>-</v>
      </c>
      <c r="K35" s="8" t="e">
        <f t="shared" si="2"/>
        <v>#VALUE!</v>
      </c>
    </row>
    <row r="36" spans="1:12" x14ac:dyDescent="0.25">
      <c r="A36" s="2">
        <v>32</v>
      </c>
      <c r="B36" s="21">
        <v>75</v>
      </c>
      <c r="C36" s="19" t="s">
        <v>34</v>
      </c>
      <c r="D36" s="6">
        <v>0.31458333333333333</v>
      </c>
      <c r="E36" s="6">
        <v>0.61875000000000002</v>
      </c>
      <c r="F36" s="6">
        <v>0.68333333333333324</v>
      </c>
      <c r="G36" s="7">
        <v>0.87430555555555556</v>
      </c>
      <c r="I36" s="9">
        <f t="shared" si="0"/>
        <v>0.55972222222222223</v>
      </c>
      <c r="J36" s="9">
        <f t="shared" si="1"/>
        <v>0.49513888888888902</v>
      </c>
      <c r="K36" s="8">
        <f t="shared" si="2"/>
        <v>6.4583333333333215E-2</v>
      </c>
    </row>
    <row r="37" spans="1:12" x14ac:dyDescent="0.25">
      <c r="A37" s="2">
        <v>33</v>
      </c>
      <c r="B37" s="20">
        <v>76</v>
      </c>
      <c r="C37" s="19" t="s">
        <v>29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2" x14ac:dyDescent="0.25">
      <c r="A38" s="2">
        <v>34</v>
      </c>
      <c r="B38" s="20">
        <v>77</v>
      </c>
      <c r="C38" s="17" t="s">
        <v>42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2" x14ac:dyDescent="0.25">
      <c r="A39" s="2">
        <v>35</v>
      </c>
      <c r="B39" s="21">
        <v>83</v>
      </c>
      <c r="C39" s="19" t="s">
        <v>31</v>
      </c>
      <c r="D39" s="6">
        <v>0.31597222222222221</v>
      </c>
      <c r="E39" s="6">
        <v>0.62430555555555556</v>
      </c>
      <c r="F39" s="6">
        <v>0.6972222222222223</v>
      </c>
      <c r="G39" s="7">
        <v>0.73888888888888893</v>
      </c>
      <c r="I39" s="9">
        <f t="shared" si="0"/>
        <v>0.42291666666666672</v>
      </c>
      <c r="J39" s="9">
        <f t="shared" si="1"/>
        <v>0.35</v>
      </c>
      <c r="K39" s="8">
        <f t="shared" si="2"/>
        <v>7.2916666666666741E-2</v>
      </c>
    </row>
    <row r="40" spans="1:12" x14ac:dyDescent="0.25">
      <c r="A40" s="2">
        <v>36</v>
      </c>
      <c r="B40" s="21">
        <v>86</v>
      </c>
      <c r="C40" s="17" t="s">
        <v>85</v>
      </c>
      <c r="D40" s="6">
        <v>0.5180555555555556</v>
      </c>
      <c r="E40" s="6">
        <v>0.77083333333333337</v>
      </c>
      <c r="F40" s="6">
        <v>0.82500000000000007</v>
      </c>
      <c r="G40" s="7">
        <v>0.87291666666666667</v>
      </c>
      <c r="I40" s="9">
        <f t="shared" si="0"/>
        <v>0.35486111111111107</v>
      </c>
      <c r="J40" s="9">
        <f t="shared" si="1"/>
        <v>0.30069444444444438</v>
      </c>
      <c r="K40" s="8">
        <f t="shared" si="2"/>
        <v>5.4166666666666696E-2</v>
      </c>
    </row>
    <row r="41" spans="1:12" x14ac:dyDescent="0.25">
      <c r="A41" s="2">
        <v>37</v>
      </c>
      <c r="B41" s="21">
        <v>87</v>
      </c>
      <c r="C41" s="19" t="s">
        <v>47</v>
      </c>
      <c r="D41" s="6">
        <v>0.31597222222222221</v>
      </c>
      <c r="E41" s="6">
        <v>0.46597222222222223</v>
      </c>
      <c r="F41" s="6">
        <v>0.53611111111111109</v>
      </c>
      <c r="G41" s="7">
        <v>0.87222222222222223</v>
      </c>
      <c r="I41" s="9">
        <f t="shared" si="0"/>
        <v>0.55625000000000002</v>
      </c>
      <c r="J41" s="9">
        <f t="shared" si="1"/>
        <v>0.48611111111111116</v>
      </c>
      <c r="K41" s="8">
        <f t="shared" si="2"/>
        <v>7.0138888888888862E-2</v>
      </c>
    </row>
    <row r="42" spans="1:12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0.66180555555555554</v>
      </c>
      <c r="F42" s="6">
        <v>0.72361111111111109</v>
      </c>
      <c r="G42" s="7">
        <v>0.875</v>
      </c>
      <c r="I42" s="9">
        <f t="shared" si="0"/>
        <v>0.55972222222222223</v>
      </c>
      <c r="J42" s="9">
        <f t="shared" si="1"/>
        <v>0.49791666666666667</v>
      </c>
      <c r="K42" s="8">
        <f t="shared" si="2"/>
        <v>6.1805555555555558E-2</v>
      </c>
    </row>
    <row r="43" spans="1:12" x14ac:dyDescent="0.25">
      <c r="A43" s="2">
        <v>39</v>
      </c>
      <c r="B43" s="20">
        <v>91</v>
      </c>
      <c r="C43" s="18" t="s">
        <v>37</v>
      </c>
      <c r="D43" s="6">
        <v>0.53125</v>
      </c>
      <c r="E43" s="6"/>
      <c r="F43" s="6"/>
      <c r="G43" s="26">
        <v>46251.00277777778</v>
      </c>
      <c r="I43" s="9">
        <f t="shared" si="0"/>
        <v>46250.47152777778</v>
      </c>
      <c r="J43" s="9" t="str">
        <f t="shared" si="1"/>
        <v>-</v>
      </c>
      <c r="K43" s="8" t="e">
        <f t="shared" si="2"/>
        <v>#VALUE!</v>
      </c>
    </row>
    <row r="44" spans="1:12" x14ac:dyDescent="0.25">
      <c r="A44" s="2">
        <v>40</v>
      </c>
      <c r="B44" s="20">
        <v>99</v>
      </c>
      <c r="C44" s="5" t="s">
        <v>13</v>
      </c>
      <c r="D44" s="6">
        <v>0.62708333333333333</v>
      </c>
      <c r="E44" s="6"/>
      <c r="F44" s="6"/>
      <c r="G44" s="7">
        <v>0.87638888888888899</v>
      </c>
      <c r="I44" s="9">
        <f t="shared" si="0"/>
        <v>0.24930555555555567</v>
      </c>
      <c r="J44" s="9" t="str">
        <f t="shared" si="1"/>
        <v>-</v>
      </c>
      <c r="K44" s="8" t="e">
        <f t="shared" si="2"/>
        <v>#VALUE!</v>
      </c>
      <c r="L44">
        <v>0.5</v>
      </c>
    </row>
    <row r="45" spans="1:12" x14ac:dyDescent="0.25">
      <c r="A45" s="2">
        <v>41</v>
      </c>
      <c r="B45" s="21">
        <v>115</v>
      </c>
      <c r="C45" s="17" t="s">
        <v>38</v>
      </c>
      <c r="D45" s="6">
        <v>0.33333333333333331</v>
      </c>
      <c r="E45" s="1"/>
      <c r="F45" s="1"/>
      <c r="G45" s="7">
        <v>0.68472222222222223</v>
      </c>
      <c r="I45" s="9">
        <f t="shared" si="0"/>
        <v>0.35138888888888892</v>
      </c>
      <c r="J45" s="9" t="str">
        <f t="shared" si="1"/>
        <v>-</v>
      </c>
      <c r="K45" s="8" t="e">
        <f t="shared" si="2"/>
        <v>#VALUE!</v>
      </c>
    </row>
    <row r="46" spans="1:12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2" x14ac:dyDescent="0.25">
      <c r="A47" s="2">
        <v>43</v>
      </c>
      <c r="B47" s="20">
        <v>117</v>
      </c>
      <c r="C47" s="17" t="s">
        <v>44</v>
      </c>
      <c r="D47" s="6">
        <v>0.31527777777777777</v>
      </c>
      <c r="E47" s="6"/>
      <c r="F47" s="6"/>
      <c r="G47" s="7">
        <v>0.68125000000000002</v>
      </c>
      <c r="I47" s="9">
        <f t="shared" si="0"/>
        <v>0.36597222222222225</v>
      </c>
      <c r="J47" s="9" t="str">
        <f t="shared" si="1"/>
        <v>-</v>
      </c>
      <c r="K47" s="8" t="e">
        <f t="shared" si="2"/>
        <v>#VALUE!</v>
      </c>
    </row>
    <row r="48" spans="1:12" x14ac:dyDescent="0.25">
      <c r="A48" s="2">
        <v>44</v>
      </c>
      <c r="B48" s="20">
        <v>119</v>
      </c>
      <c r="C48" s="19" t="s">
        <v>8</v>
      </c>
      <c r="D48" s="6">
        <v>0.31319444444444444</v>
      </c>
      <c r="E48" s="6">
        <v>0.55833333333333335</v>
      </c>
      <c r="F48" s="6">
        <v>0.62847222222222221</v>
      </c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0.31111111111111112</v>
      </c>
      <c r="E49" s="6"/>
      <c r="F49" s="6"/>
      <c r="G49" s="7">
        <v>0.81805555555555554</v>
      </c>
      <c r="I49" s="9">
        <f t="shared" si="0"/>
        <v>0.50694444444444442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3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0.6333333333333333</v>
      </c>
      <c r="E54" s="6"/>
      <c r="F54" s="6"/>
      <c r="G54" s="7">
        <v>0.87847222222222221</v>
      </c>
      <c r="I54" s="9">
        <f t="shared" si="0"/>
        <v>0.24513888888888891</v>
      </c>
      <c r="J54" s="9" t="str">
        <f t="shared" si="1"/>
        <v>-</v>
      </c>
      <c r="K54" s="8" t="e">
        <f t="shared" si="2"/>
        <v>#VALUE!</v>
      </c>
      <c r="M54">
        <v>0.5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>
        <v>0.31805555555555554</v>
      </c>
      <c r="E56" s="6">
        <v>0.65763888888888888</v>
      </c>
      <c r="F56" s="6">
        <v>0.72361111111111109</v>
      </c>
      <c r="G56" s="7">
        <v>0.87569444444444444</v>
      </c>
      <c r="I56" s="9">
        <f t="shared" si="0"/>
        <v>0.55763888888888891</v>
      </c>
      <c r="J56" s="9">
        <f t="shared" si="1"/>
        <v>0.4916666666666667</v>
      </c>
      <c r="K56" s="8">
        <f t="shared" si="2"/>
        <v>6.597222222222221E-2</v>
      </c>
    </row>
    <row r="57" spans="1:13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3" x14ac:dyDescent="0.25">
      <c r="A58" s="2">
        <v>54</v>
      </c>
      <c r="B58" s="21">
        <v>157</v>
      </c>
      <c r="C58" s="19" t="s">
        <v>28</v>
      </c>
      <c r="D58" s="6">
        <v>0.3125</v>
      </c>
      <c r="E58" s="6"/>
      <c r="F58" s="6"/>
      <c r="G58" s="7">
        <v>0.57013888888888886</v>
      </c>
      <c r="I58" s="9">
        <f t="shared" si="0"/>
        <v>0.25763888888888886</v>
      </c>
      <c r="J58" s="9" t="str">
        <f t="shared" si="1"/>
        <v>-</v>
      </c>
      <c r="K58" s="8" t="e">
        <f t="shared" si="2"/>
        <v>#VALUE!</v>
      </c>
      <c r="L58">
        <v>0.5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>
        <v>0.32916666666666666</v>
      </c>
      <c r="E60" s="6"/>
      <c r="F60" s="6"/>
      <c r="G60" s="7">
        <v>0.67986111111111114</v>
      </c>
      <c r="I60" s="9">
        <f t="shared" si="0"/>
        <v>0.35069444444444448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>
        <v>0.31736111111111115</v>
      </c>
      <c r="E61" s="6">
        <v>0.52361111111111114</v>
      </c>
      <c r="F61" s="6">
        <v>0.58402777777777781</v>
      </c>
      <c r="G61" s="7">
        <v>0.87430555555555556</v>
      </c>
      <c r="I61" s="9">
        <f t="shared" si="0"/>
        <v>0.55694444444444446</v>
      </c>
      <c r="J61" s="9">
        <f t="shared" si="1"/>
        <v>0.49652777777777773</v>
      </c>
      <c r="K61" s="8">
        <f t="shared" si="2"/>
        <v>6.041666666666673E-2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0.31597222222222221</v>
      </c>
      <c r="E63" s="6">
        <v>0.4201388888888889</v>
      </c>
      <c r="F63" s="6">
        <v>0.48055555555555557</v>
      </c>
      <c r="G63" s="7">
        <v>0.87291666666666667</v>
      </c>
      <c r="I63" s="9">
        <f t="shared" si="0"/>
        <v>0.55694444444444446</v>
      </c>
      <c r="J63" s="9">
        <f t="shared" si="1"/>
        <v>0.49652777777777779</v>
      </c>
      <c r="K63" s="8">
        <f t="shared" si="2"/>
        <v>6.0416666666666674E-2</v>
      </c>
    </row>
    <row r="64" spans="1:13" x14ac:dyDescent="0.25">
      <c r="A64" s="2">
        <v>60</v>
      </c>
      <c r="B64" s="20">
        <v>175</v>
      </c>
      <c r="C64" s="17" t="s">
        <v>60</v>
      </c>
      <c r="D64" s="6">
        <v>0.56319444444444444</v>
      </c>
      <c r="E64" s="6"/>
      <c r="F64" s="6"/>
      <c r="G64" s="6">
        <v>0.94097222222222221</v>
      </c>
      <c r="I64" s="9">
        <f t="shared" si="0"/>
        <v>0.37777777777777777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0.30763888888888891</v>
      </c>
      <c r="E65" s="6">
        <v>0.50624999999999998</v>
      </c>
      <c r="F65" s="6">
        <v>0.56111111111111112</v>
      </c>
      <c r="G65" s="6">
        <v>0.87152777777777779</v>
      </c>
      <c r="I65" s="9">
        <f t="shared" si="0"/>
        <v>0.56388888888888888</v>
      </c>
      <c r="J65" s="9">
        <f t="shared" si="1"/>
        <v>0.50902777777777775</v>
      </c>
      <c r="K65" s="8">
        <f t="shared" si="2"/>
        <v>5.4861111111111138E-2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0.52083333333333337</v>
      </c>
      <c r="E67" s="6">
        <v>0.60416666666666663</v>
      </c>
      <c r="F67" s="6">
        <v>0.625</v>
      </c>
      <c r="G67" s="6">
        <v>0.875</v>
      </c>
      <c r="I67" s="9">
        <f t="shared" si="0"/>
        <v>0.35416666666666663</v>
      </c>
      <c r="J67" s="9">
        <f t="shared" si="1"/>
        <v>0.33333333333333326</v>
      </c>
      <c r="K67" s="8">
        <f t="shared" si="2"/>
        <v>2.083333333333337E-2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1"/>
      <c r="F69" s="1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0.31736111111111115</v>
      </c>
      <c r="E70" s="6">
        <v>0.6791666666666667</v>
      </c>
      <c r="F70" s="6">
        <v>0.73888888888888893</v>
      </c>
      <c r="G70" s="6">
        <v>0.88263888888888886</v>
      </c>
      <c r="I70" s="9">
        <f t="shared" ref="I70:I80" si="3">IF(AND(D70 &lt;&gt; "", G70 &lt;&gt; ""), G70 - D70, "-")</f>
        <v>0.56527777777777777</v>
      </c>
      <c r="J70" s="9">
        <f t="shared" ref="J70:J80" si="4">IF(AND(D70 &lt;&gt; "", E70 &lt;&gt; "", F70 &lt;&gt; "", G70 &lt;&gt; ""), (E70 - D70)  + (G70 - F70), "-")</f>
        <v>0.50555555555555554</v>
      </c>
      <c r="K70" s="8">
        <f t="shared" ref="K70:K80" si="5">SUM(I70-J70)</f>
        <v>5.9722222222222232E-2</v>
      </c>
    </row>
    <row r="71" spans="1:11" x14ac:dyDescent="0.25">
      <c r="A71" s="2">
        <v>67</v>
      </c>
      <c r="B71" s="20">
        <v>182</v>
      </c>
      <c r="C71" s="17" t="s">
        <v>73</v>
      </c>
      <c r="D71" s="6">
        <v>0.51666666666666672</v>
      </c>
      <c r="E71" s="6">
        <v>0.7055555555555556</v>
      </c>
      <c r="F71" s="6">
        <v>0.72777777777777775</v>
      </c>
      <c r="G71" s="6">
        <v>0.875</v>
      </c>
      <c r="I71" s="9">
        <f t="shared" si="3"/>
        <v>0.35833333333333328</v>
      </c>
      <c r="J71" s="9">
        <f t="shared" si="4"/>
        <v>0.33611111111111114</v>
      </c>
      <c r="K71" s="8">
        <f t="shared" si="5"/>
        <v>2.2222222222222143E-2</v>
      </c>
    </row>
    <row r="72" spans="1:11" x14ac:dyDescent="0.25">
      <c r="A72" s="2">
        <v>68</v>
      </c>
      <c r="B72" s="23">
        <v>183</v>
      </c>
      <c r="C72" s="24" t="s">
        <v>74</v>
      </c>
      <c r="D72" s="25"/>
      <c r="E72" s="25"/>
      <c r="F72" s="25"/>
      <c r="G72" s="2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0.66111111111111109</v>
      </c>
      <c r="F73" s="6">
        <v>0.72430555555555554</v>
      </c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>
        <v>0.31111111111111112</v>
      </c>
      <c r="E80" s="1"/>
      <c r="F80" s="1"/>
      <c r="G80" s="6">
        <v>0.68402777777777779</v>
      </c>
      <c r="I80" s="9">
        <f t="shared" si="3"/>
        <v>0.37291666666666667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25" priority="18">
      <formula>$I5 &lt; TIME(12,0,0)</formula>
    </cfRule>
  </conditionalFormatting>
  <conditionalFormatting sqref="A5:A80 I61:J80">
    <cfRule type="cellIs" dxfId="224" priority="17" operator="between">
      <formula>0.291666666666667</formula>
      <formula>0.315972222222222</formula>
    </cfRule>
  </conditionalFormatting>
  <conditionalFormatting sqref="C5:C18 C26:C27">
    <cfRule type="expression" priority="19" stopIfTrue="1">
      <formula>COUNTIF($E$1:$E$91,C5)&gt;1</formula>
    </cfRule>
    <cfRule type="expression" priority="20" stopIfTrue="1">
      <formula>COUNTIF($E$1:$E$95,C5)&gt;1</formula>
    </cfRule>
  </conditionalFormatting>
  <conditionalFormatting sqref="C19:C25 C28:C29 C32 C34:C72">
    <cfRule type="expression" priority="21" stopIfTrue="1">
      <formula>COUNTIF($D$1:$D$82,C19)&gt;1</formula>
    </cfRule>
    <cfRule type="expression" priority="22" stopIfTrue="1">
      <formula>COUNTIF($D$1:$D$86,C19)&gt;1</formula>
    </cfRule>
  </conditionalFormatting>
  <conditionalFormatting sqref="C30:C31 C33">
    <cfRule type="expression" priority="23" stopIfTrue="1">
      <formula>COUNTIF($E$1:$E$90,C30)&gt;1</formula>
    </cfRule>
    <cfRule type="expression" priority="24" stopIfTrue="1">
      <formula>COUNTIF($E$1:$E$94,C30)&gt;1</formula>
    </cfRule>
  </conditionalFormatting>
  <conditionalFormatting sqref="C73:C80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223" priority="6" operator="between">
      <formula>0.333333333333333</formula>
      <formula>0.375</formula>
    </cfRule>
  </conditionalFormatting>
  <conditionalFormatting sqref="D56:G56">
    <cfRule type="cellIs" dxfId="222" priority="14" operator="between">
      <formula>0.875694444444444</formula>
      <formula>0.999305555555556</formula>
    </cfRule>
    <cfRule type="cellIs" dxfId="221" priority="16" operator="between">
      <formula>0.333333333333333</formula>
      <formula>0.375</formula>
    </cfRule>
  </conditionalFormatting>
  <conditionalFormatting sqref="D5:J9">
    <cfRule type="expression" dxfId="220" priority="8">
      <formula>$I5 &lt; TIME(12,0,0)</formula>
    </cfRule>
  </conditionalFormatting>
  <conditionalFormatting sqref="D5:J12">
    <cfRule type="cellIs" dxfId="219" priority="7" operator="between">
      <formula>0.291666666666667</formula>
      <formula>0.315972222222222</formula>
    </cfRule>
  </conditionalFormatting>
  <conditionalFormatting sqref="D13:J53">
    <cfRule type="cellIs" dxfId="218" priority="1" operator="between">
      <formula>0.291666666666667</formula>
      <formula>0.315972222222222</formula>
    </cfRule>
    <cfRule type="expression" dxfId="217" priority="2">
      <formula>$I13 &lt; TIME(12,0,0)</formula>
    </cfRule>
  </conditionalFormatting>
  <conditionalFormatting sqref="D54:J58">
    <cfRule type="cellIs" dxfId="216" priority="15" operator="between">
      <formula>0.291666666666667</formula>
      <formula>0.315972222222222</formula>
    </cfRule>
  </conditionalFormatting>
  <conditionalFormatting sqref="D59:J60">
    <cfRule type="cellIs" dxfId="215" priority="11" operator="between">
      <formula>0.291666666666667</formula>
      <formula>0.315972222222222</formula>
    </cfRule>
    <cfRule type="expression" dxfId="214" priority="12">
      <formula>$I59 &lt; TIME(12,0,0)</formula>
    </cfRule>
  </conditionalFormatting>
  <conditionalFormatting sqref="G10">
    <cfRule type="cellIs" dxfId="213" priority="5" operator="between">
      <formula>0.875694444444444</formula>
      <formula>0.978472222222222</formula>
    </cfRule>
  </conditionalFormatting>
  <conditionalFormatting sqref="G56">
    <cfRule type="cellIs" dxfId="212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A7B4-803C-49D3-9316-EE7D948A9112}">
  <dimension ref="A2:M80"/>
  <sheetViews>
    <sheetView workbookViewId="0">
      <pane ySplit="3" topLeftCell="A43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0.31736111111111115</v>
      </c>
      <c r="E6" s="6">
        <v>0.46597222222222223</v>
      </c>
      <c r="F6" s="6">
        <v>0.53472222222222221</v>
      </c>
      <c r="G6" s="7">
        <v>0.87708333333333333</v>
      </c>
      <c r="I6" s="9">
        <f t="shared" ref="I6:I69" si="0">IF(AND(D6 &lt;&gt; "", G6 &lt;&gt; ""), G6 - D6, "-")</f>
        <v>0.55972222222222223</v>
      </c>
      <c r="J6" s="9">
        <f t="shared" ref="J6:J69" si="1">IF(AND(D6 &lt;&gt; "", E6 &lt;&gt; "", F6 &lt;&gt; "", G6 &lt;&gt; ""), (E6 - D6)  + (G6 - F6), "-")</f>
        <v>0.4909722222222222</v>
      </c>
      <c r="K6" s="8">
        <f t="shared" ref="K6:K69" si="2">SUM(I6-J6)</f>
        <v>6.8750000000000033E-2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0.30902777777777779</v>
      </c>
      <c r="E10" s="6">
        <v>0.45833333333333331</v>
      </c>
      <c r="F10" s="6">
        <v>0.50277777777777777</v>
      </c>
      <c r="G10" s="7">
        <v>0.87013888888888891</v>
      </c>
      <c r="I10" s="9">
        <f t="shared" si="0"/>
        <v>0.56111111111111112</v>
      </c>
      <c r="J10" s="9">
        <f t="shared" si="1"/>
        <v>0.51666666666666661</v>
      </c>
      <c r="K10" s="8">
        <f t="shared" si="2"/>
        <v>4.4444444444444509E-2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0.33402777777777781</v>
      </c>
      <c r="E11" s="6">
        <v>0.55347222222222225</v>
      </c>
      <c r="F11" s="6">
        <v>0.62152777777777779</v>
      </c>
      <c r="G11" s="7">
        <v>0.84027777777777779</v>
      </c>
      <c r="I11" s="9">
        <f t="shared" si="0"/>
        <v>0.50624999999999998</v>
      </c>
      <c r="J11" s="9">
        <f t="shared" si="1"/>
        <v>0.43819444444444444</v>
      </c>
      <c r="K11" s="8">
        <f t="shared" si="2"/>
        <v>6.8055555555555536E-2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0.31180555555555556</v>
      </c>
      <c r="E12" s="6">
        <v>0.63472222222222219</v>
      </c>
      <c r="F12" s="6">
        <v>0.69513888888888886</v>
      </c>
      <c r="G12" s="7">
        <v>0.87013888888888891</v>
      </c>
      <c r="I12" s="9">
        <f t="shared" si="0"/>
        <v>0.55833333333333335</v>
      </c>
      <c r="J12" s="9">
        <f t="shared" si="1"/>
        <v>0.49791666666666667</v>
      </c>
      <c r="K12" s="8">
        <f t="shared" si="2"/>
        <v>6.0416666666666674E-2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0.37986111111111115</v>
      </c>
      <c r="E13" s="6"/>
      <c r="F13" s="6"/>
      <c r="G13" s="7">
        <v>0.71388888888888891</v>
      </c>
      <c r="I13" s="9">
        <f t="shared" si="0"/>
        <v>0.33402777777777776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0.32222222222222224</v>
      </c>
      <c r="E15" s="6">
        <v>0.54583333333333328</v>
      </c>
      <c r="F15" s="6">
        <v>0.61111111111111105</v>
      </c>
      <c r="G15" s="7">
        <v>0.83750000000000002</v>
      </c>
      <c r="I15" s="9">
        <f t="shared" si="0"/>
        <v>0.51527777777777772</v>
      </c>
      <c r="J15" s="9">
        <f t="shared" si="1"/>
        <v>0.45</v>
      </c>
      <c r="K15" s="8">
        <f t="shared" si="2"/>
        <v>6.5277777777777712E-2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0.69513888888888886</v>
      </c>
      <c r="F16" s="6">
        <v>0.76180555555555562</v>
      </c>
      <c r="G16" s="7">
        <v>0.8652777777777777</v>
      </c>
      <c r="I16" s="9">
        <f t="shared" si="0"/>
        <v>0.55208333333333326</v>
      </c>
      <c r="J16" s="9">
        <f t="shared" si="1"/>
        <v>0.4854166666666665</v>
      </c>
      <c r="K16" s="8">
        <f t="shared" si="2"/>
        <v>6.6666666666666763E-2</v>
      </c>
    </row>
    <row r="17" spans="1:13" x14ac:dyDescent="0.25">
      <c r="A17" s="2">
        <v>13</v>
      </c>
      <c r="B17" s="20">
        <v>19</v>
      </c>
      <c r="C17" s="19" t="s">
        <v>27</v>
      </c>
      <c r="D17" s="6">
        <v>0.31180555555555556</v>
      </c>
      <c r="E17" s="6">
        <v>0.62013888888888891</v>
      </c>
      <c r="F17" s="6">
        <v>0.6875</v>
      </c>
      <c r="G17" s="7">
        <v>0.87222222222222223</v>
      </c>
      <c r="I17" s="9">
        <f t="shared" si="0"/>
        <v>0.56041666666666667</v>
      </c>
      <c r="J17" s="9">
        <f t="shared" si="1"/>
        <v>0.49305555555555558</v>
      </c>
      <c r="K17" s="8">
        <f t="shared" si="2"/>
        <v>6.7361111111111094E-2</v>
      </c>
    </row>
    <row r="18" spans="1:13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3" x14ac:dyDescent="0.25">
      <c r="A19" s="2">
        <v>15</v>
      </c>
      <c r="B19" s="20">
        <v>24</v>
      </c>
      <c r="C19" s="17" t="s">
        <v>40</v>
      </c>
      <c r="D19" s="6">
        <v>0.64513888888888882</v>
      </c>
      <c r="E19" s="6"/>
      <c r="F19" s="6"/>
      <c r="G19" s="7">
        <v>0.9458333333333333</v>
      </c>
      <c r="I19" s="9">
        <f t="shared" si="0"/>
        <v>0.30069444444444449</v>
      </c>
      <c r="J19" s="9" t="str">
        <f t="shared" si="1"/>
        <v>-</v>
      </c>
      <c r="K19" s="8" t="e">
        <f t="shared" si="2"/>
        <v>#VALUE!</v>
      </c>
    </row>
    <row r="20" spans="1:13" x14ac:dyDescent="0.25">
      <c r="A20" s="2">
        <v>16</v>
      </c>
      <c r="B20" s="20">
        <v>25</v>
      </c>
      <c r="C20" s="5" t="s">
        <v>41</v>
      </c>
      <c r="D20" s="6">
        <v>0.31527777777777777</v>
      </c>
      <c r="E20" s="6">
        <v>0.5229166666666667</v>
      </c>
      <c r="F20" s="6">
        <v>0.58958333333333335</v>
      </c>
      <c r="G20" s="7">
        <v>0.87430555555555556</v>
      </c>
      <c r="I20" s="9">
        <f t="shared" si="0"/>
        <v>0.55902777777777779</v>
      </c>
      <c r="J20" s="9">
        <f t="shared" si="1"/>
        <v>0.49236111111111114</v>
      </c>
      <c r="K20" s="8">
        <f t="shared" si="2"/>
        <v>6.6666666666666652E-2</v>
      </c>
    </row>
    <row r="21" spans="1:13" x14ac:dyDescent="0.25">
      <c r="A21" s="2">
        <v>17</v>
      </c>
      <c r="B21" s="21">
        <v>29</v>
      </c>
      <c r="C21" s="19" t="s">
        <v>19</v>
      </c>
      <c r="D21" s="6">
        <v>0.31041666666666667</v>
      </c>
      <c r="E21" s="6">
        <v>0.5180555555555556</v>
      </c>
      <c r="F21" s="6">
        <v>0.58194444444444449</v>
      </c>
      <c r="G21" s="7">
        <v>0.875</v>
      </c>
      <c r="I21" s="9">
        <f t="shared" si="0"/>
        <v>0.56458333333333333</v>
      </c>
      <c r="J21" s="9">
        <f t="shared" si="1"/>
        <v>0.50069444444444444</v>
      </c>
      <c r="K21" s="8">
        <f t="shared" si="2"/>
        <v>6.3888888888888884E-2</v>
      </c>
    </row>
    <row r="22" spans="1:13" x14ac:dyDescent="0.25">
      <c r="A22" s="2">
        <v>18</v>
      </c>
      <c r="B22" s="20">
        <v>30</v>
      </c>
      <c r="C22" s="5" t="s">
        <v>30</v>
      </c>
      <c r="D22" s="6">
        <v>0.31875000000000003</v>
      </c>
      <c r="E22" s="6">
        <v>0.49652777777777773</v>
      </c>
      <c r="F22" s="6"/>
      <c r="G22" s="7">
        <v>0.56944444444444442</v>
      </c>
      <c r="I22" s="9">
        <f t="shared" si="0"/>
        <v>0.25069444444444439</v>
      </c>
      <c r="J22" s="9" t="str">
        <f t="shared" si="1"/>
        <v>-</v>
      </c>
      <c r="K22" s="8" t="e">
        <f t="shared" si="2"/>
        <v>#VALUE!</v>
      </c>
      <c r="L22">
        <v>0.5</v>
      </c>
    </row>
    <row r="23" spans="1:13" x14ac:dyDescent="0.25">
      <c r="A23" s="2">
        <v>19</v>
      </c>
      <c r="B23" s="20">
        <v>31</v>
      </c>
      <c r="C23" s="5" t="s">
        <v>14</v>
      </c>
      <c r="D23" s="6">
        <v>0.31666666666666665</v>
      </c>
      <c r="E23" s="6"/>
      <c r="F23" s="6"/>
      <c r="G23" s="7">
        <v>0.81736111111111109</v>
      </c>
      <c r="I23" s="9">
        <f t="shared" si="0"/>
        <v>0.50069444444444444</v>
      </c>
      <c r="J23" s="9" t="str">
        <f t="shared" si="1"/>
        <v>-</v>
      </c>
      <c r="K23" s="8" t="e">
        <f t="shared" si="2"/>
        <v>#VALUE!</v>
      </c>
    </row>
    <row r="24" spans="1:13" x14ac:dyDescent="0.25">
      <c r="A24" s="2">
        <v>20</v>
      </c>
      <c r="B24" s="21">
        <v>32</v>
      </c>
      <c r="C24" s="19" t="s">
        <v>17</v>
      </c>
      <c r="D24" s="6">
        <v>0.32013888888888892</v>
      </c>
      <c r="E24" s="6">
        <v>0.43472222222222223</v>
      </c>
      <c r="F24" s="6">
        <v>0.50138888888888888</v>
      </c>
      <c r="G24" s="7">
        <v>0.84375</v>
      </c>
      <c r="I24" s="9">
        <f t="shared" si="0"/>
        <v>0.52361111111111103</v>
      </c>
      <c r="J24" s="9">
        <f t="shared" si="1"/>
        <v>0.45694444444444443</v>
      </c>
      <c r="K24" s="8">
        <f t="shared" si="2"/>
        <v>6.6666666666666596E-2</v>
      </c>
    </row>
    <row r="25" spans="1:13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3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3" x14ac:dyDescent="0.25">
      <c r="A27" s="2">
        <v>23</v>
      </c>
      <c r="B27" s="20">
        <v>35</v>
      </c>
      <c r="C27" s="5" t="s">
        <v>5</v>
      </c>
      <c r="D27" s="6">
        <v>0.3215277777777778</v>
      </c>
      <c r="E27" s="6">
        <v>0.64444444444444449</v>
      </c>
      <c r="F27" s="6">
        <v>0.7416666666666667</v>
      </c>
      <c r="G27" s="7">
        <v>0.87222222222222223</v>
      </c>
      <c r="I27" s="9">
        <f t="shared" si="0"/>
        <v>0.55069444444444438</v>
      </c>
      <c r="J27" s="9">
        <f t="shared" si="1"/>
        <v>0.45347222222222222</v>
      </c>
      <c r="K27" s="8">
        <f t="shared" si="2"/>
        <v>9.7222222222222154E-2</v>
      </c>
      <c r="L27" s="8">
        <v>2.7777777777777776E-2</v>
      </c>
    </row>
    <row r="28" spans="1:13" x14ac:dyDescent="0.25">
      <c r="A28" s="2">
        <v>24</v>
      </c>
      <c r="B28" s="20">
        <v>38</v>
      </c>
      <c r="C28" s="5" t="s">
        <v>57</v>
      </c>
      <c r="D28" s="6">
        <v>0.31041666666666667</v>
      </c>
      <c r="E28" s="6"/>
      <c r="F28" s="6"/>
      <c r="G28" s="7">
        <v>0.91319444444444453</v>
      </c>
      <c r="I28" s="9">
        <f t="shared" si="0"/>
        <v>0.60277777777777786</v>
      </c>
      <c r="J28" s="9" t="str">
        <f t="shared" si="1"/>
        <v>-</v>
      </c>
      <c r="K28" s="8" t="e">
        <f t="shared" si="2"/>
        <v>#VALUE!</v>
      </c>
      <c r="L28" s="8">
        <v>3.8194444444444441E-2</v>
      </c>
    </row>
    <row r="29" spans="1:13" x14ac:dyDescent="0.25">
      <c r="A29" s="2">
        <v>25</v>
      </c>
      <c r="B29" s="20">
        <v>40</v>
      </c>
      <c r="C29" s="5" t="s">
        <v>16</v>
      </c>
      <c r="D29" s="6">
        <v>0.30972222222222223</v>
      </c>
      <c r="E29" s="6">
        <v>0.38263888888888892</v>
      </c>
      <c r="F29" s="6">
        <v>0.4597222222222222</v>
      </c>
      <c r="G29" s="7">
        <v>0.87708333333333333</v>
      </c>
      <c r="I29" s="9">
        <f t="shared" si="0"/>
        <v>0.56736111111111109</v>
      </c>
      <c r="J29" s="9">
        <f t="shared" si="1"/>
        <v>0.49027777777777781</v>
      </c>
      <c r="K29" s="8">
        <f t="shared" si="2"/>
        <v>7.7083333333333282E-2</v>
      </c>
      <c r="L29" s="8"/>
      <c r="M29">
        <v>1.5</v>
      </c>
    </row>
    <row r="30" spans="1:13" x14ac:dyDescent="0.25">
      <c r="A30" s="2">
        <v>26</v>
      </c>
      <c r="B30" s="21">
        <v>44</v>
      </c>
      <c r="C30" s="19" t="s">
        <v>20</v>
      </c>
      <c r="D30" s="6">
        <v>0.31180555555555556</v>
      </c>
      <c r="E30" s="6">
        <v>0.5493055555555556</v>
      </c>
      <c r="F30" s="6"/>
      <c r="G30" s="7">
        <v>0.87986111111111109</v>
      </c>
      <c r="I30" s="9">
        <f t="shared" si="0"/>
        <v>0.56805555555555554</v>
      </c>
      <c r="J30" s="9" t="str">
        <f t="shared" si="1"/>
        <v>-</v>
      </c>
      <c r="K30" s="8" t="e">
        <f t="shared" si="2"/>
        <v>#VALUE!</v>
      </c>
    </row>
    <row r="31" spans="1:13" x14ac:dyDescent="0.25">
      <c r="A31" s="2">
        <v>27</v>
      </c>
      <c r="B31" s="20">
        <v>56</v>
      </c>
      <c r="C31" s="5" t="s">
        <v>15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3" x14ac:dyDescent="0.25">
      <c r="A32" s="2">
        <v>28</v>
      </c>
      <c r="B32" s="21">
        <v>58</v>
      </c>
      <c r="C32" s="19" t="s">
        <v>18</v>
      </c>
      <c r="D32" s="6">
        <v>0.35347222222222219</v>
      </c>
      <c r="E32" s="6">
        <v>0.62222222222222223</v>
      </c>
      <c r="F32" s="6">
        <v>0.68541666666666667</v>
      </c>
      <c r="G32" s="7">
        <v>0.86944444444444446</v>
      </c>
      <c r="I32" s="9">
        <f t="shared" si="0"/>
        <v>0.51597222222222228</v>
      </c>
      <c r="J32" s="9">
        <f t="shared" si="1"/>
        <v>0.45277777777777783</v>
      </c>
      <c r="K32" s="8">
        <f t="shared" si="2"/>
        <v>6.3194444444444442E-2</v>
      </c>
    </row>
    <row r="33" spans="1:12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2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2" x14ac:dyDescent="0.25">
      <c r="A35" s="2">
        <v>31</v>
      </c>
      <c r="B35" s="20">
        <v>72</v>
      </c>
      <c r="C35" s="17" t="s">
        <v>45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2" x14ac:dyDescent="0.25">
      <c r="A36" s="2">
        <v>32</v>
      </c>
      <c r="B36" s="21">
        <v>75</v>
      </c>
      <c r="C36" s="19" t="s">
        <v>34</v>
      </c>
      <c r="D36" s="6">
        <v>0.31597222222222221</v>
      </c>
      <c r="E36" s="6">
        <v>0.58124999999999993</v>
      </c>
      <c r="F36" s="6">
        <v>0.6479166666666667</v>
      </c>
      <c r="G36" s="7">
        <v>0.87222222222222223</v>
      </c>
      <c r="I36" s="9">
        <f t="shared" si="0"/>
        <v>0.55625000000000002</v>
      </c>
      <c r="J36" s="9">
        <f t="shared" si="1"/>
        <v>0.48958333333333326</v>
      </c>
      <c r="K36" s="8">
        <f t="shared" si="2"/>
        <v>6.6666666666666763E-2</v>
      </c>
    </row>
    <row r="37" spans="1:12" x14ac:dyDescent="0.25">
      <c r="A37" s="2">
        <v>33</v>
      </c>
      <c r="B37" s="20">
        <v>76</v>
      </c>
      <c r="C37" s="19" t="s">
        <v>29</v>
      </c>
      <c r="D37" s="6">
        <v>0.3125</v>
      </c>
      <c r="E37" s="6">
        <v>0.7319444444444444</v>
      </c>
      <c r="F37" s="6"/>
      <c r="G37" s="7">
        <v>0.87083333333333324</v>
      </c>
      <c r="I37" s="9">
        <f t="shared" si="0"/>
        <v>0.55833333333333324</v>
      </c>
      <c r="J37" s="9" t="str">
        <f t="shared" si="1"/>
        <v>-</v>
      </c>
      <c r="K37" s="8" t="e">
        <f t="shared" si="2"/>
        <v>#VALUE!</v>
      </c>
    </row>
    <row r="38" spans="1:12" x14ac:dyDescent="0.25">
      <c r="A38" s="2">
        <v>34</v>
      </c>
      <c r="B38" s="20">
        <v>77</v>
      </c>
      <c r="C38" s="17" t="s">
        <v>42</v>
      </c>
      <c r="D38" s="6">
        <v>0.31527777777777777</v>
      </c>
      <c r="E38" s="6"/>
      <c r="F38" s="6"/>
      <c r="G38" s="7">
        <v>0.67638888888888893</v>
      </c>
      <c r="I38" s="9">
        <f t="shared" si="0"/>
        <v>0.36111111111111116</v>
      </c>
      <c r="J38" s="9" t="str">
        <f t="shared" si="1"/>
        <v>-</v>
      </c>
      <c r="K38" s="8" t="e">
        <f t="shared" si="2"/>
        <v>#VALUE!</v>
      </c>
    </row>
    <row r="39" spans="1:12" x14ac:dyDescent="0.25">
      <c r="A39" s="2">
        <v>35</v>
      </c>
      <c r="B39" s="21">
        <v>83</v>
      </c>
      <c r="C39" s="19" t="s">
        <v>31</v>
      </c>
      <c r="D39" s="6">
        <v>0.39652777777777781</v>
      </c>
      <c r="E39" s="6">
        <v>0.64097222222222217</v>
      </c>
      <c r="F39" s="6">
        <v>0.71944444444444444</v>
      </c>
      <c r="G39" s="7">
        <v>0.87430555555555556</v>
      </c>
      <c r="I39" s="9">
        <f t="shared" si="0"/>
        <v>0.47777777777777775</v>
      </c>
      <c r="J39" s="9">
        <f t="shared" si="1"/>
        <v>0.39930555555555547</v>
      </c>
      <c r="K39" s="8">
        <f t="shared" si="2"/>
        <v>7.8472222222222276E-2</v>
      </c>
    </row>
    <row r="40" spans="1:12" x14ac:dyDescent="0.25">
      <c r="A40" s="2">
        <v>36</v>
      </c>
      <c r="B40" s="21">
        <v>86</v>
      </c>
      <c r="C40" s="17" t="s">
        <v>85</v>
      </c>
      <c r="D40" s="6">
        <v>0.52083333333333337</v>
      </c>
      <c r="E40" s="6">
        <v>0.71458333333333324</v>
      </c>
      <c r="F40" s="6">
        <v>0.74375000000000002</v>
      </c>
      <c r="G40" s="7">
        <v>0.87013888888888891</v>
      </c>
      <c r="I40" s="9">
        <f t="shared" si="0"/>
        <v>0.34930555555555554</v>
      </c>
      <c r="J40" s="9">
        <f t="shared" si="1"/>
        <v>0.32013888888888875</v>
      </c>
      <c r="K40" s="8">
        <f t="shared" si="2"/>
        <v>2.9166666666666785E-2</v>
      </c>
    </row>
    <row r="41" spans="1:12" x14ac:dyDescent="0.25">
      <c r="A41" s="2">
        <v>37</v>
      </c>
      <c r="B41" s="21">
        <v>87</v>
      </c>
      <c r="C41" s="19" t="s">
        <v>47</v>
      </c>
      <c r="D41" s="6">
        <v>0.31666666666666665</v>
      </c>
      <c r="E41" s="6">
        <v>0.57430555555555551</v>
      </c>
      <c r="F41" s="6">
        <v>0.64097222222222217</v>
      </c>
      <c r="G41" s="7">
        <v>0.87152777777777779</v>
      </c>
      <c r="I41" s="9">
        <f t="shared" si="0"/>
        <v>0.55486111111111114</v>
      </c>
      <c r="J41" s="9">
        <f t="shared" si="1"/>
        <v>0.48819444444444449</v>
      </c>
      <c r="K41" s="8">
        <f t="shared" si="2"/>
        <v>6.6666666666666652E-2</v>
      </c>
    </row>
    <row r="42" spans="1:12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0.72916666666666663</v>
      </c>
      <c r="F42" s="6">
        <v>0.79027777777777775</v>
      </c>
      <c r="G42" s="7">
        <v>0.87361111111111101</v>
      </c>
      <c r="I42" s="9">
        <f t="shared" si="0"/>
        <v>0.55833333333333324</v>
      </c>
      <c r="J42" s="9">
        <f t="shared" si="1"/>
        <v>0.49722222222222212</v>
      </c>
      <c r="K42" s="8">
        <f t="shared" si="2"/>
        <v>6.1111111111111116E-2</v>
      </c>
    </row>
    <row r="43" spans="1:12" x14ac:dyDescent="0.25">
      <c r="A43" s="2">
        <v>39</v>
      </c>
      <c r="B43" s="20">
        <v>91</v>
      </c>
      <c r="C43" s="18" t="s">
        <v>37</v>
      </c>
      <c r="D43" s="6">
        <v>0.50277777777777777</v>
      </c>
      <c r="E43" s="6"/>
      <c r="F43" s="6"/>
      <c r="G43" s="26">
        <v>46250.068749999999</v>
      </c>
      <c r="I43" s="9">
        <f t="shared" si="0"/>
        <v>46249.565972222219</v>
      </c>
      <c r="J43" s="9" t="str">
        <f t="shared" si="1"/>
        <v>-</v>
      </c>
      <c r="K43" s="8" t="e">
        <f t="shared" si="2"/>
        <v>#VALUE!</v>
      </c>
    </row>
    <row r="44" spans="1:12" x14ac:dyDescent="0.25">
      <c r="A44" s="2">
        <v>40</v>
      </c>
      <c r="B44" s="20">
        <v>99</v>
      </c>
      <c r="C44" s="5" t="s">
        <v>13</v>
      </c>
      <c r="D44" s="6">
        <v>0.32291666666666669</v>
      </c>
      <c r="E44" s="6"/>
      <c r="F44" s="6"/>
      <c r="G44" s="7">
        <v>0.64097222222222217</v>
      </c>
      <c r="I44" s="9">
        <f t="shared" si="0"/>
        <v>0.31805555555555548</v>
      </c>
      <c r="J44" s="9" t="str">
        <f t="shared" si="1"/>
        <v>-</v>
      </c>
      <c r="K44" s="8" t="e">
        <f t="shared" si="2"/>
        <v>#VALUE!</v>
      </c>
      <c r="L44">
        <v>0.67</v>
      </c>
    </row>
    <row r="45" spans="1:12" x14ac:dyDescent="0.25">
      <c r="A45" s="2">
        <v>41</v>
      </c>
      <c r="B45" s="21">
        <v>115</v>
      </c>
      <c r="C45" s="17" t="s">
        <v>38</v>
      </c>
      <c r="D45" s="6">
        <v>0.56666666666666665</v>
      </c>
      <c r="E45" s="1"/>
      <c r="F45" s="1"/>
      <c r="G45" s="7">
        <v>0.9243055555555556</v>
      </c>
      <c r="I45" s="9">
        <f t="shared" si="0"/>
        <v>0.35763888888888895</v>
      </c>
      <c r="J45" s="9" t="str">
        <f t="shared" si="1"/>
        <v>-</v>
      </c>
      <c r="K45" s="8" t="e">
        <f t="shared" si="2"/>
        <v>#VALUE!</v>
      </c>
    </row>
    <row r="46" spans="1:12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2" x14ac:dyDescent="0.25">
      <c r="A47" s="2">
        <v>43</v>
      </c>
      <c r="B47" s="20">
        <v>117</v>
      </c>
      <c r="C47" s="17" t="s">
        <v>44</v>
      </c>
      <c r="D47" s="6">
        <v>0.52361111111111114</v>
      </c>
      <c r="E47" s="6">
        <v>0.77777777777777779</v>
      </c>
      <c r="F47" s="6">
        <v>0.80486111111111114</v>
      </c>
      <c r="G47" s="7">
        <v>0.87569444444444444</v>
      </c>
      <c r="I47" s="9">
        <f t="shared" si="0"/>
        <v>0.3520833333333333</v>
      </c>
      <c r="J47" s="9">
        <f t="shared" si="1"/>
        <v>0.32499999999999996</v>
      </c>
      <c r="K47" s="8">
        <f t="shared" si="2"/>
        <v>2.7083333333333348E-2</v>
      </c>
    </row>
    <row r="48" spans="1:12" x14ac:dyDescent="0.25">
      <c r="A48" s="2">
        <v>44</v>
      </c>
      <c r="B48" s="20">
        <v>119</v>
      </c>
      <c r="C48" s="19" t="s">
        <v>8</v>
      </c>
      <c r="D48" s="6">
        <v>0.3125</v>
      </c>
      <c r="E48" s="6">
        <v>0.63541666666666663</v>
      </c>
      <c r="F48" s="6">
        <v>0.70347222222222217</v>
      </c>
      <c r="G48" s="7">
        <v>0.86944444444444446</v>
      </c>
      <c r="I48" s="9">
        <f t="shared" si="0"/>
        <v>0.55694444444444446</v>
      </c>
      <c r="J48" s="9">
        <f t="shared" si="1"/>
        <v>0.48888888888888893</v>
      </c>
      <c r="K48" s="8">
        <f t="shared" si="2"/>
        <v>6.8055555555555536E-2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0.30902777777777779</v>
      </c>
      <c r="E49" s="6"/>
      <c r="F49" s="6"/>
      <c r="G49" s="7">
        <v>0.81944444444444453</v>
      </c>
      <c r="I49" s="9">
        <f t="shared" si="0"/>
        <v>0.51041666666666674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0.32361111111111113</v>
      </c>
      <c r="E52" s="6"/>
      <c r="F52" s="6"/>
      <c r="G52" s="7">
        <v>0.87291666666666667</v>
      </c>
      <c r="I52" s="9">
        <f t="shared" si="0"/>
        <v>0.54930555555555549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0.31736111111111115</v>
      </c>
      <c r="E56" s="6">
        <v>0.69097222222222221</v>
      </c>
      <c r="F56" s="6">
        <v>0.78194444444444444</v>
      </c>
      <c r="G56" s="7">
        <v>0.87361111111111101</v>
      </c>
      <c r="I56" s="9">
        <f t="shared" si="0"/>
        <v>0.55624999999999991</v>
      </c>
      <c r="J56" s="9">
        <f t="shared" si="1"/>
        <v>0.46527777777777762</v>
      </c>
      <c r="K56" s="8">
        <f t="shared" si="2"/>
        <v>9.0972222222222288E-2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0.31388888888888888</v>
      </c>
      <c r="E57" s="6">
        <v>0.5854166666666667</v>
      </c>
      <c r="F57" s="6">
        <v>0.65277777777777779</v>
      </c>
      <c r="G57" s="7">
        <v>0.87013888888888891</v>
      </c>
      <c r="I57" s="9">
        <f t="shared" si="0"/>
        <v>0.55625000000000002</v>
      </c>
      <c r="J57" s="9">
        <f t="shared" si="1"/>
        <v>0.48888888888888893</v>
      </c>
      <c r="K57" s="8">
        <f t="shared" si="2"/>
        <v>6.7361111111111094E-2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0.50069444444444444</v>
      </c>
      <c r="F58" s="6">
        <v>0.56527777777777777</v>
      </c>
      <c r="G58" s="7">
        <v>0.87291666666666667</v>
      </c>
      <c r="I58" s="9">
        <f t="shared" si="0"/>
        <v>0.56041666666666667</v>
      </c>
      <c r="J58" s="9">
        <f t="shared" si="1"/>
        <v>0.49583333333333335</v>
      </c>
      <c r="K58" s="8">
        <f t="shared" si="2"/>
        <v>6.4583333333333326E-2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0.32083333333333336</v>
      </c>
      <c r="E60" s="6"/>
      <c r="F60" s="6"/>
      <c r="G60" s="7">
        <v>0.6875</v>
      </c>
      <c r="I60" s="9">
        <f t="shared" si="0"/>
        <v>0.36666666666666664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0.31388888888888888</v>
      </c>
      <c r="E61" s="6">
        <v>0.58194444444444449</v>
      </c>
      <c r="F61" s="6">
        <v>0.64652777777777781</v>
      </c>
      <c r="G61" s="7">
        <v>0.87222222222222223</v>
      </c>
      <c r="I61" s="9">
        <f t="shared" si="0"/>
        <v>0.55833333333333335</v>
      </c>
      <c r="J61" s="9">
        <f t="shared" si="1"/>
        <v>0.49375000000000002</v>
      </c>
      <c r="K61" s="8">
        <f t="shared" si="2"/>
        <v>6.4583333333333326E-2</v>
      </c>
    </row>
    <row r="62" spans="1:11" x14ac:dyDescent="0.25">
      <c r="A62" s="2">
        <v>58</v>
      </c>
      <c r="B62" s="20">
        <v>165</v>
      </c>
      <c r="C62" s="17" t="s">
        <v>56</v>
      </c>
      <c r="D62" s="6">
        <v>0.53194444444444444</v>
      </c>
      <c r="E62" s="6">
        <v>0.80555555555555547</v>
      </c>
      <c r="F62" s="6">
        <v>0.83194444444444438</v>
      </c>
      <c r="G62" s="7">
        <v>0.87916666666666676</v>
      </c>
      <c r="I62" s="9">
        <f t="shared" si="0"/>
        <v>0.34722222222222232</v>
      </c>
      <c r="J62" s="9">
        <f t="shared" si="1"/>
        <v>0.32083333333333341</v>
      </c>
      <c r="K62" s="8">
        <f t="shared" si="2"/>
        <v>2.6388888888888906E-2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0.31666666666666665</v>
      </c>
      <c r="E63" s="6">
        <v>0.42569444444444443</v>
      </c>
      <c r="F63" s="6">
        <v>0.50069444444444444</v>
      </c>
      <c r="G63" s="7">
        <v>0.87291666666666667</v>
      </c>
      <c r="I63" s="9">
        <f t="shared" si="0"/>
        <v>0.55625000000000002</v>
      </c>
      <c r="J63" s="9">
        <f t="shared" si="1"/>
        <v>0.48125000000000001</v>
      </c>
      <c r="K63" s="8">
        <f t="shared" si="2"/>
        <v>7.5000000000000011E-2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0.31180555555555556</v>
      </c>
      <c r="E64" s="6"/>
      <c r="F64" s="6"/>
      <c r="G64" s="6">
        <v>0.71319444444444446</v>
      </c>
      <c r="I64" s="9">
        <f t="shared" si="0"/>
        <v>0.40138888888888891</v>
      </c>
      <c r="J64" s="9" t="str">
        <f t="shared" si="1"/>
        <v>-</v>
      </c>
      <c r="K64" s="8" t="e">
        <f t="shared" si="2"/>
        <v>#VALUE!</v>
      </c>
    </row>
    <row r="65" spans="1:12" x14ac:dyDescent="0.25">
      <c r="A65" s="2">
        <v>61</v>
      </c>
      <c r="B65" s="20">
        <v>176</v>
      </c>
      <c r="C65" s="19" t="s">
        <v>66</v>
      </c>
      <c r="D65" s="6">
        <v>0.30694444444444441</v>
      </c>
      <c r="E65" s="6">
        <v>0.50347222222222221</v>
      </c>
      <c r="F65" s="6">
        <v>0.56319444444444444</v>
      </c>
      <c r="G65" s="6">
        <v>0.87013888888888891</v>
      </c>
      <c r="I65" s="9">
        <f t="shared" si="0"/>
        <v>0.56319444444444455</v>
      </c>
      <c r="J65" s="9">
        <f t="shared" si="1"/>
        <v>0.50347222222222232</v>
      </c>
      <c r="K65" s="8">
        <f t="shared" si="2"/>
        <v>5.9722222222222232E-2</v>
      </c>
    </row>
    <row r="66" spans="1:12" x14ac:dyDescent="0.25">
      <c r="A66" s="2">
        <v>62</v>
      </c>
      <c r="B66" s="20">
        <v>177</v>
      </c>
      <c r="C66" s="17" t="s">
        <v>68</v>
      </c>
      <c r="D66" s="6">
        <v>0.31388888888888888</v>
      </c>
      <c r="E66" s="1"/>
      <c r="F66" s="1"/>
      <c r="G66" s="6">
        <v>0.66875000000000007</v>
      </c>
      <c r="I66" s="9">
        <f t="shared" si="0"/>
        <v>0.35486111111111118</v>
      </c>
      <c r="J66" s="9" t="str">
        <f t="shared" si="1"/>
        <v>-</v>
      </c>
      <c r="K66" s="8" t="e">
        <f t="shared" si="2"/>
        <v>#VALUE!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0.51736111111111105</v>
      </c>
      <c r="E67" s="6">
        <v>0.61875000000000002</v>
      </c>
      <c r="F67" s="6">
        <v>0.63888888888888895</v>
      </c>
      <c r="G67" s="6">
        <v>0.87291666666666667</v>
      </c>
      <c r="I67" s="9">
        <f t="shared" si="0"/>
        <v>0.35555555555555562</v>
      </c>
      <c r="J67" s="9">
        <f t="shared" si="1"/>
        <v>0.3354166666666667</v>
      </c>
      <c r="K67" s="8">
        <f>SUM(I67-J67)</f>
        <v>2.0138888888888928E-2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0.31736111111111115</v>
      </c>
      <c r="E68" s="6">
        <v>0.61388888888888882</v>
      </c>
      <c r="F68" s="6">
        <v>0.63611111111111118</v>
      </c>
      <c r="G68" s="6">
        <v>0.6694444444444444</v>
      </c>
      <c r="I68" s="9">
        <f t="shared" si="0"/>
        <v>0.35208333333333325</v>
      </c>
      <c r="J68" s="9">
        <f t="shared" si="1"/>
        <v>0.32986111111111088</v>
      </c>
      <c r="K68" s="8">
        <f t="shared" si="2"/>
        <v>2.2222222222222365E-2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0.33680555555555558</v>
      </c>
      <c r="E69" s="6">
        <v>0.59652777777777777</v>
      </c>
      <c r="F69" s="6">
        <v>0.61805555555555558</v>
      </c>
      <c r="G69" s="6">
        <v>0.69097222222222221</v>
      </c>
      <c r="I69" s="9">
        <f t="shared" si="0"/>
        <v>0.35416666666666663</v>
      </c>
      <c r="J69" s="9">
        <f t="shared" si="1"/>
        <v>0.33263888888888882</v>
      </c>
      <c r="K69" s="8">
        <f t="shared" si="2"/>
        <v>2.1527777777777812E-2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0.33680555555555558</v>
      </c>
      <c r="E70" s="6">
        <v>0.5854166666666667</v>
      </c>
      <c r="F70" s="6">
        <v>0.64513888888888882</v>
      </c>
      <c r="G70" s="6">
        <v>0.87708333333333333</v>
      </c>
      <c r="I70" s="9">
        <f t="shared" ref="I70:I80" si="3">IF(AND(D70 &lt;&gt; "", G70 &lt;&gt; ""), G70 - D70, "-")</f>
        <v>0.54027777777777775</v>
      </c>
      <c r="J70" s="9">
        <f t="shared" ref="J70:J80" si="4">IF(AND(D70 &lt;&gt; "", E70 &lt;&gt; "", F70 &lt;&gt; "", G70 &lt;&gt; ""), (E70 - D70)  + (G70 - F70), "-")</f>
        <v>0.48055555555555562</v>
      </c>
      <c r="K70" s="8">
        <f t="shared" ref="K70:K80" si="5">SUM(I70-J70)</f>
        <v>5.9722222222222121E-2</v>
      </c>
      <c r="L70">
        <v>1.5</v>
      </c>
    </row>
    <row r="71" spans="1:12" x14ac:dyDescent="0.25">
      <c r="A71" s="2">
        <v>67</v>
      </c>
      <c r="B71" s="20">
        <v>182</v>
      </c>
      <c r="C71" s="17" t="s">
        <v>73</v>
      </c>
      <c r="D71" s="6">
        <v>0.51458333333333328</v>
      </c>
      <c r="E71" s="1"/>
      <c r="F71" s="1"/>
      <c r="G71" s="6">
        <v>0.88124999999999998</v>
      </c>
      <c r="I71" s="9">
        <f t="shared" si="3"/>
        <v>0.3666666666666667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0.31736111111111115</v>
      </c>
      <c r="E72" s="35">
        <v>0.52152777777777781</v>
      </c>
      <c r="F72" s="35">
        <v>0.64374999999999993</v>
      </c>
      <c r="G72" s="35">
        <v>0.85902777777777783</v>
      </c>
      <c r="I72" s="9">
        <f t="shared" si="3"/>
        <v>0.54166666666666674</v>
      </c>
      <c r="J72" s="9">
        <f t="shared" si="4"/>
        <v>0.41944444444444456</v>
      </c>
      <c r="K72" s="8">
        <f t="shared" si="5"/>
        <v>0.12222222222222218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0.72916666666666663</v>
      </c>
      <c r="F73" s="6">
        <v>0.79027777777777775</v>
      </c>
      <c r="G73" s="6">
        <v>0.87361111111111101</v>
      </c>
      <c r="I73" s="9">
        <f t="shared" si="3"/>
        <v>0.55833333333333324</v>
      </c>
      <c r="J73" s="9">
        <f t="shared" si="4"/>
        <v>0.49722222222222212</v>
      </c>
      <c r="K73" s="8">
        <f t="shared" si="5"/>
        <v>6.1111111111111116E-2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0.31597222222222221</v>
      </c>
      <c r="E74" s="1"/>
      <c r="F74" s="1"/>
      <c r="G74" s="6">
        <v>0.6479166666666667</v>
      </c>
      <c r="I74" s="9">
        <f t="shared" si="3"/>
        <v>0.33194444444444449</v>
      </c>
      <c r="J74" s="9" t="str">
        <f t="shared" si="4"/>
        <v>-</v>
      </c>
      <c r="K74" s="8" t="e">
        <f t="shared" si="5"/>
        <v>#VALUE!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0.31736111111111115</v>
      </c>
      <c r="E77" s="6">
        <v>0.47152777777777777</v>
      </c>
      <c r="F77" s="6">
        <v>0.53472222222222221</v>
      </c>
      <c r="G77" s="6">
        <v>0.87708333333333333</v>
      </c>
      <c r="I77" s="9">
        <f t="shared" si="3"/>
        <v>0.55972222222222223</v>
      </c>
      <c r="J77" s="9">
        <f t="shared" si="4"/>
        <v>0.49652777777777773</v>
      </c>
      <c r="K77" s="8">
        <f t="shared" si="5"/>
        <v>6.3194444444444497E-2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2" x14ac:dyDescent="0.25">
      <c r="A80" s="2">
        <v>76</v>
      </c>
      <c r="B80" s="20">
        <v>193</v>
      </c>
      <c r="C80" s="17" t="s">
        <v>84</v>
      </c>
      <c r="D80" s="6">
        <v>0.31319444444444444</v>
      </c>
      <c r="E80" s="1"/>
      <c r="F80" s="1"/>
      <c r="G80" s="6">
        <v>0.68263888888888891</v>
      </c>
      <c r="I80" s="9">
        <f t="shared" si="3"/>
        <v>0.36944444444444446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211" priority="16">
      <formula>$I5 &lt; TIME(12,0,0)</formula>
    </cfRule>
  </conditionalFormatting>
  <conditionalFormatting sqref="A5:A80 I61:J80">
    <cfRule type="cellIs" dxfId="210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209" priority="4" operator="between">
      <formula>0.333333333333333</formula>
      <formula>0.375</formula>
    </cfRule>
  </conditionalFormatting>
  <conditionalFormatting sqref="D56:G56">
    <cfRule type="cellIs" dxfId="208" priority="12" operator="between">
      <formula>0.875694444444444</formula>
      <formula>0.999305555555556</formula>
    </cfRule>
    <cfRule type="cellIs" dxfId="207" priority="14" operator="between">
      <formula>0.333333333333333</formula>
      <formula>0.375</formula>
    </cfRule>
  </conditionalFormatting>
  <conditionalFormatting sqref="D5:J9">
    <cfRule type="expression" dxfId="206" priority="6">
      <formula>$I5 &lt; TIME(12,0,0)</formula>
    </cfRule>
  </conditionalFormatting>
  <conditionalFormatting sqref="D5:J12">
    <cfRule type="cellIs" dxfId="205" priority="5" operator="between">
      <formula>0.291666666666667</formula>
      <formula>0.315972222222222</formula>
    </cfRule>
  </conditionalFormatting>
  <conditionalFormatting sqref="D13:J53">
    <cfRule type="cellIs" dxfId="204" priority="1" operator="between">
      <formula>0.291666666666667</formula>
      <formula>0.315972222222222</formula>
    </cfRule>
    <cfRule type="expression" dxfId="203" priority="2">
      <formula>$I13 &lt; TIME(12,0,0)</formula>
    </cfRule>
  </conditionalFormatting>
  <conditionalFormatting sqref="D54:J58">
    <cfRule type="cellIs" dxfId="202" priority="13" operator="between">
      <formula>0.291666666666667</formula>
      <formula>0.315972222222222</formula>
    </cfRule>
  </conditionalFormatting>
  <conditionalFormatting sqref="D59:J60">
    <cfRule type="cellIs" dxfId="201" priority="9" operator="between">
      <formula>0.291666666666667</formula>
      <formula>0.315972222222222</formula>
    </cfRule>
    <cfRule type="expression" dxfId="200" priority="10">
      <formula>$I59 &lt; TIME(12,0,0)</formula>
    </cfRule>
  </conditionalFormatting>
  <conditionalFormatting sqref="G10">
    <cfRule type="cellIs" dxfId="199" priority="3" operator="between">
      <formula>0.875694444444444</formula>
      <formula>0.978472222222222</formula>
    </cfRule>
  </conditionalFormatting>
  <conditionalFormatting sqref="G56">
    <cfRule type="cellIs" dxfId="198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070A-EA6F-4848-817E-71227E211BAC}">
  <dimension ref="A2:M80"/>
  <sheetViews>
    <sheetView workbookViewId="0">
      <pane ySplit="3" topLeftCell="A40" activePane="bottomLeft" state="frozen"/>
      <selection pane="bottomLeft" activeCell="L29" sqref="L29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3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3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3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3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3" x14ac:dyDescent="0.25">
      <c r="A6" s="2">
        <v>2</v>
      </c>
      <c r="B6" s="20">
        <v>3</v>
      </c>
      <c r="C6" s="5" t="s">
        <v>24</v>
      </c>
      <c r="D6" s="6">
        <v>0.31736111111111115</v>
      </c>
      <c r="E6" s="6">
        <v>0.53541666666666665</v>
      </c>
      <c r="F6" s="6">
        <v>0.6069444444444444</v>
      </c>
      <c r="G6" s="7">
        <v>0.87569444444444444</v>
      </c>
      <c r="I6" s="9">
        <f t="shared" ref="I6:I69" si="0">IF(AND(D6 &lt;&gt; "", G6 &lt;&gt; ""), G6 - D6, "-")</f>
        <v>0.55833333333333335</v>
      </c>
      <c r="J6" s="9">
        <f t="shared" ref="J6:J69" si="1">IF(AND(D6 &lt;&gt; "", E6 &lt;&gt; "", F6 &lt;&gt; "", G6 &lt;&gt; ""), (E6 - D6)  + (G6 - F6), "-")</f>
        <v>0.48680555555555555</v>
      </c>
      <c r="K6" s="8">
        <f t="shared" ref="K6:K69" si="2">SUM(I6-J6)</f>
        <v>7.1527777777777801E-2</v>
      </c>
    </row>
    <row r="7" spans="1:13" x14ac:dyDescent="0.25">
      <c r="A7" s="2">
        <v>3</v>
      </c>
      <c r="B7" s="20">
        <v>6</v>
      </c>
      <c r="C7" s="19" t="s">
        <v>69</v>
      </c>
      <c r="D7" s="6">
        <v>0.31458333333333333</v>
      </c>
      <c r="E7" s="6"/>
      <c r="F7" s="6"/>
      <c r="G7" s="7">
        <v>0.58263888888888882</v>
      </c>
      <c r="I7" s="9">
        <f t="shared" si="0"/>
        <v>0.26805555555555549</v>
      </c>
      <c r="J7" s="9" t="str">
        <f t="shared" si="1"/>
        <v>-</v>
      </c>
      <c r="K7" s="8" t="e">
        <f t="shared" si="2"/>
        <v>#VALUE!</v>
      </c>
      <c r="M7">
        <v>0.5</v>
      </c>
    </row>
    <row r="8" spans="1:13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3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3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0.52152777777777781</v>
      </c>
      <c r="F10" s="6">
        <v>0.56180555555555556</v>
      </c>
      <c r="G10" s="7">
        <v>0.87430555555555556</v>
      </c>
      <c r="I10" s="9">
        <f t="shared" si="0"/>
        <v>0.5625</v>
      </c>
      <c r="J10" s="9">
        <f t="shared" si="1"/>
        <v>0.52222222222222225</v>
      </c>
      <c r="K10" s="8">
        <f t="shared" si="2"/>
        <v>4.0277777777777746E-2</v>
      </c>
    </row>
    <row r="11" spans="1:13" x14ac:dyDescent="0.25">
      <c r="A11" s="2">
        <v>7</v>
      </c>
      <c r="B11" s="20">
        <v>12</v>
      </c>
      <c r="C11" s="5" t="s">
        <v>7</v>
      </c>
      <c r="D11" s="6">
        <v>0.3347222222222222</v>
      </c>
      <c r="E11" s="6">
        <v>0.53749999999999998</v>
      </c>
      <c r="F11" s="6">
        <v>0.59722222222222221</v>
      </c>
      <c r="G11" s="7">
        <v>0.83680555555555547</v>
      </c>
      <c r="I11" s="9">
        <f t="shared" si="0"/>
        <v>0.50208333333333321</v>
      </c>
      <c r="J11" s="9">
        <f t="shared" si="1"/>
        <v>0.44236111111111104</v>
      </c>
      <c r="K11" s="8">
        <f t="shared" si="2"/>
        <v>5.9722222222222177E-2</v>
      </c>
    </row>
    <row r="12" spans="1:13" x14ac:dyDescent="0.25">
      <c r="A12" s="2">
        <v>8</v>
      </c>
      <c r="B12" s="20">
        <v>13</v>
      </c>
      <c r="C12" s="19" t="s">
        <v>33</v>
      </c>
      <c r="D12" s="6">
        <v>0.31319444444444444</v>
      </c>
      <c r="E12" s="6">
        <v>0.5395833333333333</v>
      </c>
      <c r="F12" s="6">
        <v>0.60069444444444442</v>
      </c>
      <c r="G12" s="7">
        <v>0.875</v>
      </c>
      <c r="I12" s="9">
        <f t="shared" si="0"/>
        <v>0.56180555555555556</v>
      </c>
      <c r="J12" s="9">
        <f t="shared" si="1"/>
        <v>0.50069444444444444</v>
      </c>
      <c r="K12" s="8">
        <f t="shared" si="2"/>
        <v>6.1111111111111116E-2</v>
      </c>
    </row>
    <row r="13" spans="1:13" x14ac:dyDescent="0.25">
      <c r="A13" s="2">
        <v>9</v>
      </c>
      <c r="B13" s="20">
        <v>14</v>
      </c>
      <c r="C13" s="17" t="s">
        <v>46</v>
      </c>
      <c r="D13" s="6">
        <v>0.3659722222222222</v>
      </c>
      <c r="E13" s="6"/>
      <c r="F13" s="6"/>
      <c r="G13" s="7">
        <v>0.70416666666666661</v>
      </c>
      <c r="I13" s="9">
        <f t="shared" si="0"/>
        <v>0.33819444444444441</v>
      </c>
      <c r="J13" s="9" t="str">
        <f t="shared" si="1"/>
        <v>-</v>
      </c>
      <c r="K13" s="8" t="e">
        <f t="shared" si="2"/>
        <v>#VALUE!</v>
      </c>
    </row>
    <row r="14" spans="1:13" x14ac:dyDescent="0.25">
      <c r="A14" s="2">
        <v>10</v>
      </c>
      <c r="B14" s="20">
        <v>15</v>
      </c>
      <c r="C14" s="17" t="s">
        <v>43</v>
      </c>
      <c r="D14" s="6">
        <v>0.31180555555555556</v>
      </c>
      <c r="E14" s="6">
        <v>0.37083333333333335</v>
      </c>
      <c r="F14" s="6">
        <v>0.39305555555555555</v>
      </c>
      <c r="G14" s="7">
        <v>0.66388888888888886</v>
      </c>
      <c r="I14" s="9">
        <f t="shared" si="0"/>
        <v>0.3520833333333333</v>
      </c>
      <c r="J14" s="9">
        <f t="shared" si="1"/>
        <v>0.3298611111111111</v>
      </c>
      <c r="K14" s="8">
        <f t="shared" si="2"/>
        <v>2.2222222222222199E-2</v>
      </c>
    </row>
    <row r="15" spans="1:13" x14ac:dyDescent="0.25">
      <c r="A15" s="2">
        <v>11</v>
      </c>
      <c r="B15" s="20">
        <v>17</v>
      </c>
      <c r="C15" s="5" t="s">
        <v>54</v>
      </c>
      <c r="D15" s="6">
        <v>0.3430555555555555</v>
      </c>
      <c r="E15" s="6">
        <v>0.54861111111111105</v>
      </c>
      <c r="F15" s="6">
        <v>0.61388888888888882</v>
      </c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3" x14ac:dyDescent="0.25">
      <c r="A16" s="2">
        <v>12</v>
      </c>
      <c r="B16" s="20">
        <v>18</v>
      </c>
      <c r="C16" s="5" t="s">
        <v>4</v>
      </c>
      <c r="D16" s="6">
        <v>0.31388888888888888</v>
      </c>
      <c r="E16" s="6">
        <v>0.34861111111111115</v>
      </c>
      <c r="F16" s="6">
        <v>0.4201388888888889</v>
      </c>
      <c r="G16" s="7">
        <v>0.8340277777777777</v>
      </c>
      <c r="I16" s="9">
        <f t="shared" si="0"/>
        <v>0.52013888888888882</v>
      </c>
      <c r="J16" s="9">
        <f t="shared" si="1"/>
        <v>0.44861111111111107</v>
      </c>
      <c r="K16" s="8">
        <f t="shared" si="2"/>
        <v>7.1527777777777746E-2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0.31180555555555556</v>
      </c>
      <c r="E17" s="6">
        <v>0.62986111111111109</v>
      </c>
      <c r="F17" s="6">
        <v>0.69444444444444453</v>
      </c>
      <c r="G17" s="7">
        <v>0.87291666666666667</v>
      </c>
      <c r="I17" s="9">
        <f t="shared" si="0"/>
        <v>0.56111111111111112</v>
      </c>
      <c r="J17" s="9">
        <f t="shared" si="1"/>
        <v>0.49652777777777768</v>
      </c>
      <c r="K17" s="8">
        <f t="shared" si="2"/>
        <v>6.4583333333333437E-2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  <c r="L19" t="s">
        <v>87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0.31527777777777777</v>
      </c>
      <c r="E20" s="6">
        <v>0.42569444444444443</v>
      </c>
      <c r="F20" s="6">
        <v>0.50694444444444442</v>
      </c>
      <c r="G20" s="7">
        <v>0.87569444444444444</v>
      </c>
      <c r="I20" s="9">
        <f t="shared" si="0"/>
        <v>0.56041666666666667</v>
      </c>
      <c r="J20" s="9">
        <f t="shared" si="1"/>
        <v>0.47916666666666669</v>
      </c>
      <c r="K20" s="8">
        <f t="shared" si="2"/>
        <v>8.1249999999999989E-2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0.30972222222222223</v>
      </c>
      <c r="E21" s="6">
        <v>0.49513888888888885</v>
      </c>
      <c r="F21" s="6">
        <v>0.56111111111111112</v>
      </c>
      <c r="G21" s="7">
        <v>0.87430555555555556</v>
      </c>
      <c r="I21" s="9">
        <f t="shared" si="0"/>
        <v>0.56458333333333333</v>
      </c>
      <c r="J21" s="9">
        <f t="shared" si="1"/>
        <v>0.49861111111111106</v>
      </c>
      <c r="K21" s="8">
        <f t="shared" si="2"/>
        <v>6.5972222222222265E-2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0.32013888888888892</v>
      </c>
      <c r="E22" s="6">
        <v>0.50069444444444444</v>
      </c>
      <c r="F22" s="6">
        <v>0.57291666666666663</v>
      </c>
      <c r="G22" s="7">
        <v>0.87777777777777777</v>
      </c>
      <c r="I22" s="9">
        <f t="shared" si="0"/>
        <v>0.5576388888888888</v>
      </c>
      <c r="J22" s="9">
        <f t="shared" si="1"/>
        <v>0.48541666666666666</v>
      </c>
      <c r="K22" s="8">
        <f t="shared" si="2"/>
        <v>7.2222222222222132E-2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0.31805555555555554</v>
      </c>
      <c r="E23" s="6">
        <v>0.50208333333333333</v>
      </c>
      <c r="F23" s="6">
        <v>0.56944444444444442</v>
      </c>
      <c r="G23" s="7">
        <v>0.88263888888888886</v>
      </c>
      <c r="I23" s="9">
        <f t="shared" si="0"/>
        <v>0.56458333333333333</v>
      </c>
      <c r="J23" s="9">
        <f t="shared" si="1"/>
        <v>0.49722222222222223</v>
      </c>
      <c r="K23" s="8">
        <f t="shared" si="2"/>
        <v>6.7361111111111094E-2</v>
      </c>
    </row>
    <row r="24" spans="1:12" x14ac:dyDescent="0.25">
      <c r="A24" s="2">
        <v>20</v>
      </c>
      <c r="B24" s="21">
        <v>32</v>
      </c>
      <c r="C24" s="19" t="s">
        <v>17</v>
      </c>
      <c r="D24" s="6">
        <v>0.35902777777777778</v>
      </c>
      <c r="E24" s="6">
        <v>0.47916666666666669</v>
      </c>
      <c r="F24" s="6">
        <v>0.54583333333333328</v>
      </c>
      <c r="G24" s="7">
        <v>0.84652777777777777</v>
      </c>
      <c r="I24" s="9">
        <f t="shared" si="0"/>
        <v>0.48749999999999999</v>
      </c>
      <c r="J24" s="9">
        <f t="shared" si="1"/>
        <v>0.42083333333333339</v>
      </c>
      <c r="K24" s="8">
        <f t="shared" si="2"/>
        <v>6.6666666666666596E-2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0.31666666666666665</v>
      </c>
      <c r="E27" s="6">
        <v>0.69930555555555562</v>
      </c>
      <c r="F27" s="6">
        <v>0.80069444444444438</v>
      </c>
      <c r="G27" s="7">
        <v>0.875</v>
      </c>
      <c r="I27" s="9">
        <f t="shared" si="0"/>
        <v>0.55833333333333335</v>
      </c>
      <c r="J27" s="9">
        <f t="shared" si="1"/>
        <v>0.4569444444444446</v>
      </c>
      <c r="K27" s="8">
        <f t="shared" si="2"/>
        <v>0.10138888888888875</v>
      </c>
      <c r="L27" s="8">
        <v>3.8194444444444441E-2</v>
      </c>
    </row>
    <row r="28" spans="1:12" x14ac:dyDescent="0.25">
      <c r="A28" s="2">
        <v>24</v>
      </c>
      <c r="B28" s="20">
        <v>38</v>
      </c>
      <c r="C28" s="5" t="s">
        <v>57</v>
      </c>
      <c r="D28" s="6">
        <v>0.31180555555555556</v>
      </c>
      <c r="E28" s="6"/>
      <c r="F28" s="6"/>
      <c r="G28" s="7">
        <v>0.91736111111111107</v>
      </c>
      <c r="I28" s="9">
        <f t="shared" si="0"/>
        <v>0.60555555555555551</v>
      </c>
      <c r="J28" s="9" t="str">
        <f t="shared" si="1"/>
        <v>-</v>
      </c>
      <c r="K28" s="8" t="e">
        <f t="shared" si="2"/>
        <v>#VALUE!</v>
      </c>
      <c r="L28" s="8">
        <v>4.1666666666666664E-2</v>
      </c>
    </row>
    <row r="29" spans="1:12" x14ac:dyDescent="0.25">
      <c r="A29" s="2">
        <v>25</v>
      </c>
      <c r="B29" s="20">
        <v>40</v>
      </c>
      <c r="C29" s="5" t="s">
        <v>16</v>
      </c>
      <c r="D29" s="6">
        <v>0.52152777777777781</v>
      </c>
      <c r="E29" s="6">
        <v>0.79027777777777775</v>
      </c>
      <c r="F29" s="6">
        <v>0.81388888888888899</v>
      </c>
      <c r="G29" s="7">
        <v>0.89444444444444438</v>
      </c>
      <c r="I29" s="9">
        <f t="shared" si="0"/>
        <v>0.37291666666666656</v>
      </c>
      <c r="J29" s="9">
        <f t="shared" si="1"/>
        <v>0.34930555555555531</v>
      </c>
      <c r="K29" s="8">
        <f t="shared" si="2"/>
        <v>2.3611111111111249E-2</v>
      </c>
      <c r="L29" s="8">
        <v>1.7361111111111112E-2</v>
      </c>
    </row>
    <row r="30" spans="1:12" x14ac:dyDescent="0.25">
      <c r="A30" s="2">
        <v>26</v>
      </c>
      <c r="B30" s="21">
        <v>44</v>
      </c>
      <c r="C30" s="19" t="s">
        <v>20</v>
      </c>
      <c r="D30" s="6">
        <v>0.31319444444444444</v>
      </c>
      <c r="E30" s="6">
        <v>0.53611111111111109</v>
      </c>
      <c r="F30" s="6">
        <v>0.6</v>
      </c>
      <c r="G30" s="7">
        <v>0.88194444444444453</v>
      </c>
      <c r="I30" s="9">
        <f t="shared" si="0"/>
        <v>0.56875000000000009</v>
      </c>
      <c r="J30" s="9">
        <f t="shared" si="1"/>
        <v>0.5048611111111112</v>
      </c>
      <c r="K30" s="8">
        <f t="shared" si="2"/>
        <v>6.3888888888888884E-2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0.31319444444444444</v>
      </c>
      <c r="E31" s="6">
        <v>0.52430555555555558</v>
      </c>
      <c r="F31" s="6">
        <v>0.59166666666666667</v>
      </c>
      <c r="G31" s="7">
        <v>0.87152777777777779</v>
      </c>
      <c r="I31" s="9">
        <f t="shared" si="0"/>
        <v>0.55833333333333335</v>
      </c>
      <c r="J31" s="9">
        <f t="shared" si="1"/>
        <v>0.49097222222222225</v>
      </c>
      <c r="K31" s="8">
        <f t="shared" si="2"/>
        <v>6.7361111111111094E-2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0.31041666666666667</v>
      </c>
      <c r="E32" s="6"/>
      <c r="F32" s="6"/>
      <c r="G32" s="7">
        <v>0.88055555555555554</v>
      </c>
      <c r="I32" s="9">
        <f t="shared" si="0"/>
        <v>0.57013888888888886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>
        <v>0.41388888888888892</v>
      </c>
      <c r="E34" s="6"/>
      <c r="F34" s="6"/>
      <c r="G34" s="7">
        <v>0.70416666666666661</v>
      </c>
      <c r="I34" s="9">
        <f t="shared" si="0"/>
        <v>0.29027777777777769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>
        <v>0.52777777777777779</v>
      </c>
      <c r="E35" s="6"/>
      <c r="F35" s="6"/>
      <c r="G35" s="7">
        <v>0.77569444444444446</v>
      </c>
      <c r="I35" s="9">
        <f t="shared" si="0"/>
        <v>0.24791666666666667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>
        <v>0.31458333333333333</v>
      </c>
      <c r="E36" s="6">
        <v>0.57777777777777783</v>
      </c>
      <c r="F36" s="6">
        <v>0.64097222222222217</v>
      </c>
      <c r="G36" s="7">
        <v>0.87152777777777779</v>
      </c>
      <c r="I36" s="9">
        <f t="shared" si="0"/>
        <v>0.55694444444444446</v>
      </c>
      <c r="J36" s="9">
        <f t="shared" si="1"/>
        <v>0.49375000000000013</v>
      </c>
      <c r="K36" s="8">
        <f t="shared" si="2"/>
        <v>6.3194444444444331E-2</v>
      </c>
    </row>
    <row r="37" spans="1:11" x14ac:dyDescent="0.25">
      <c r="A37" s="2">
        <v>33</v>
      </c>
      <c r="B37" s="20">
        <v>76</v>
      </c>
      <c r="C37" s="19" t="s">
        <v>29</v>
      </c>
      <c r="D37" s="6">
        <v>0.31388888888888888</v>
      </c>
      <c r="E37" s="6">
        <v>0.60277777777777775</v>
      </c>
      <c r="F37" s="6">
        <v>0.66597222222222219</v>
      </c>
      <c r="G37" s="7">
        <v>0.87430555555555556</v>
      </c>
      <c r="I37" s="9">
        <f t="shared" si="0"/>
        <v>0.56041666666666667</v>
      </c>
      <c r="J37" s="9">
        <f t="shared" si="1"/>
        <v>0.49722222222222223</v>
      </c>
      <c r="K37" s="8">
        <f t="shared" si="2"/>
        <v>6.3194444444444442E-2</v>
      </c>
    </row>
    <row r="38" spans="1:11" x14ac:dyDescent="0.25">
      <c r="A38" s="2">
        <v>34</v>
      </c>
      <c r="B38" s="20">
        <v>77</v>
      </c>
      <c r="C38" s="17" t="s">
        <v>42</v>
      </c>
      <c r="D38" s="6">
        <v>0.31388888888888888</v>
      </c>
      <c r="E38" s="6"/>
      <c r="F38" s="6"/>
      <c r="G38" s="7">
        <v>0.70277777777777783</v>
      </c>
      <c r="I38" s="9">
        <f t="shared" si="0"/>
        <v>0.38888888888888895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>
        <v>0.39166666666666666</v>
      </c>
      <c r="E39" s="6">
        <v>0.61111111111111105</v>
      </c>
      <c r="F39" s="6">
        <v>0.70833333333333337</v>
      </c>
      <c r="G39" s="7">
        <v>0.87430555555555556</v>
      </c>
      <c r="I39" s="9">
        <f t="shared" si="0"/>
        <v>0.4826388888888889</v>
      </c>
      <c r="J39" s="9">
        <f t="shared" si="1"/>
        <v>0.38541666666666657</v>
      </c>
      <c r="K39" s="8">
        <f t="shared" si="2"/>
        <v>9.7222222222222321E-2</v>
      </c>
    </row>
    <row r="40" spans="1:11" x14ac:dyDescent="0.25">
      <c r="A40" s="2">
        <v>36</v>
      </c>
      <c r="B40" s="21">
        <v>86</v>
      </c>
      <c r="C40" s="17" t="s">
        <v>85</v>
      </c>
      <c r="D40" s="6">
        <v>0.52152777777777781</v>
      </c>
      <c r="E40" s="6">
        <v>0.71319444444444446</v>
      </c>
      <c r="F40" s="6">
        <v>0.74583333333333324</v>
      </c>
      <c r="G40" s="7">
        <v>0.87361111111111101</v>
      </c>
      <c r="I40" s="9">
        <f t="shared" si="0"/>
        <v>0.35208333333333319</v>
      </c>
      <c r="J40" s="9">
        <f t="shared" si="1"/>
        <v>0.31944444444444442</v>
      </c>
      <c r="K40" s="8">
        <f t="shared" si="2"/>
        <v>3.2638888888888773E-2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0.31597222222222221</v>
      </c>
      <c r="E41" s="6"/>
      <c r="F41" s="6"/>
      <c r="G41" s="7">
        <v>0.87013888888888891</v>
      </c>
      <c r="I41" s="9">
        <f t="shared" si="0"/>
        <v>0.5541666666666667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0.62708333333333333</v>
      </c>
      <c r="F42" s="6">
        <v>0.6875</v>
      </c>
      <c r="G42" s="7">
        <v>0.875</v>
      </c>
      <c r="I42" s="9">
        <f t="shared" si="0"/>
        <v>0.55972222222222223</v>
      </c>
      <c r="J42" s="9">
        <f t="shared" si="1"/>
        <v>0.49930555555555556</v>
      </c>
      <c r="K42" s="8">
        <f t="shared" si="2"/>
        <v>6.0416666666666674E-2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26">
        <v>46249.013194444444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>
        <v>0.31736111111111115</v>
      </c>
      <c r="E44" s="6">
        <v>0.49236111111111108</v>
      </c>
      <c r="F44" s="6">
        <v>0.5708333333333333</v>
      </c>
      <c r="G44" s="7">
        <v>0.88541666666666663</v>
      </c>
      <c r="I44" s="9">
        <f t="shared" si="0"/>
        <v>0.56805555555555554</v>
      </c>
      <c r="J44" s="9">
        <f t="shared" si="1"/>
        <v>0.48958333333333326</v>
      </c>
      <c r="K44" s="8">
        <f t="shared" si="2"/>
        <v>7.8472222222222276E-2</v>
      </c>
    </row>
    <row r="45" spans="1:11" x14ac:dyDescent="0.25">
      <c r="A45" s="2">
        <v>41</v>
      </c>
      <c r="B45" s="21">
        <v>115</v>
      </c>
      <c r="C45" s="17" t="s">
        <v>38</v>
      </c>
      <c r="D45" s="6">
        <v>0.31805555555555554</v>
      </c>
      <c r="E45" s="6">
        <v>0.56597222222222221</v>
      </c>
      <c r="F45" s="6">
        <v>0.58819444444444446</v>
      </c>
      <c r="G45" s="7">
        <v>0.66805555555555562</v>
      </c>
      <c r="I45" s="9">
        <f t="shared" si="0"/>
        <v>0.35000000000000009</v>
      </c>
      <c r="J45" s="9">
        <f t="shared" si="1"/>
        <v>0.32777777777777783</v>
      </c>
      <c r="K45" s="8">
        <f t="shared" si="2"/>
        <v>2.2222222222222254E-2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>
        <v>0.5625</v>
      </c>
      <c r="E47" s="6"/>
      <c r="F47" s="6"/>
      <c r="G47" s="7">
        <v>0.91527777777777775</v>
      </c>
      <c r="I47" s="9">
        <f t="shared" si="0"/>
        <v>0.35277777777777775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0.3125</v>
      </c>
      <c r="E49" s="6"/>
      <c r="F49" s="6"/>
      <c r="G49" s="7">
        <v>0.82430555555555562</v>
      </c>
      <c r="I49" s="9">
        <f t="shared" si="0"/>
        <v>0.51180555555555562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>
        <v>0.57500000000000007</v>
      </c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0.31875000000000003</v>
      </c>
      <c r="E51" s="6"/>
      <c r="F51" s="6"/>
      <c r="G51" s="7">
        <v>0.71597222222222223</v>
      </c>
      <c r="I51" s="9">
        <f t="shared" si="0"/>
        <v>0.3972222222222222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0.31527777777777777</v>
      </c>
      <c r="E52" s="6"/>
      <c r="F52" s="6"/>
      <c r="G52" s="7">
        <v>0.875</v>
      </c>
      <c r="I52" s="9">
        <f t="shared" si="0"/>
        <v>0.55972222222222223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0.31041666666666667</v>
      </c>
      <c r="E57" s="6">
        <v>0.58611111111111114</v>
      </c>
      <c r="F57" s="6">
        <v>0.65833333333333333</v>
      </c>
      <c r="G57" s="7">
        <v>0.86736111111111114</v>
      </c>
      <c r="I57" s="9">
        <f t="shared" si="0"/>
        <v>0.55694444444444446</v>
      </c>
      <c r="J57" s="9">
        <f t="shared" si="1"/>
        <v>0.48472222222222228</v>
      </c>
      <c r="K57" s="8">
        <f t="shared" si="2"/>
        <v>7.2222222222222188E-2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0.54583333333333328</v>
      </c>
      <c r="F58" s="6">
        <v>0.60972222222222217</v>
      </c>
      <c r="G58" s="7">
        <v>0.87430555555555556</v>
      </c>
      <c r="I58" s="9">
        <f t="shared" si="0"/>
        <v>0.56180555555555556</v>
      </c>
      <c r="J58" s="9">
        <f t="shared" si="1"/>
        <v>0.49791666666666667</v>
      </c>
      <c r="K58" s="8">
        <f t="shared" si="2"/>
        <v>6.3888888888888884E-2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>
        <v>0.32013888888888892</v>
      </c>
      <c r="E62" s="6">
        <v>0.63680555555555551</v>
      </c>
      <c r="F62" s="6">
        <v>0.66249999999999998</v>
      </c>
      <c r="G62" s="7">
        <v>0.66805555555555562</v>
      </c>
      <c r="I62" s="9">
        <f t="shared" si="0"/>
        <v>0.34791666666666671</v>
      </c>
      <c r="J62" s="9">
        <f t="shared" si="1"/>
        <v>0.32222222222222224</v>
      </c>
      <c r="K62" s="8">
        <f t="shared" si="2"/>
        <v>2.5694444444444464E-2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0.31527777777777777</v>
      </c>
      <c r="E63" s="6">
        <v>0.40347222222222223</v>
      </c>
      <c r="F63" s="6">
        <v>0.46527777777777773</v>
      </c>
      <c r="G63" s="7">
        <v>0.87291666666666667</v>
      </c>
      <c r="I63" s="9">
        <f t="shared" si="0"/>
        <v>0.55763888888888891</v>
      </c>
      <c r="J63" s="9">
        <f t="shared" si="1"/>
        <v>0.4958333333333334</v>
      </c>
      <c r="K63" s="8">
        <f t="shared" si="2"/>
        <v>6.1805555555555503E-2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0.56458333333333333</v>
      </c>
      <c r="E64" s="6"/>
      <c r="F64" s="6"/>
      <c r="G64" s="6">
        <v>0.91736111111111107</v>
      </c>
      <c r="I64" s="9">
        <f t="shared" si="0"/>
        <v>0.35277777777777775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0.31319444444444444</v>
      </c>
      <c r="E65" s="6">
        <v>0.4861111111111111</v>
      </c>
      <c r="F65" s="6">
        <v>0.54513888888888895</v>
      </c>
      <c r="G65" s="6">
        <v>0.87361111111111101</v>
      </c>
      <c r="I65" s="9">
        <f t="shared" si="0"/>
        <v>0.56041666666666656</v>
      </c>
      <c r="J65" s="9">
        <f t="shared" si="1"/>
        <v>0.50138888888888866</v>
      </c>
      <c r="K65" s="8">
        <f t="shared" si="2"/>
        <v>5.9027777777777901E-2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0.3125</v>
      </c>
      <c r="E66" s="1"/>
      <c r="F66" s="1"/>
      <c r="G66" s="6">
        <v>0.66805555555555562</v>
      </c>
      <c r="I66" s="9">
        <f t="shared" si="0"/>
        <v>0.35555555555555562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0.56111111111111112</v>
      </c>
      <c r="E67" s="6"/>
      <c r="F67" s="6"/>
      <c r="G67" s="6">
        <v>0.91388888888888886</v>
      </c>
      <c r="I67" s="9">
        <f t="shared" si="0"/>
        <v>0.35277777777777775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0.51944444444444449</v>
      </c>
      <c r="E69" s="6">
        <v>0.61875000000000002</v>
      </c>
      <c r="F69" s="6">
        <v>0.63958333333333328</v>
      </c>
      <c r="G69" s="6">
        <v>0.87291666666666667</v>
      </c>
      <c r="I69" s="9">
        <f t="shared" si="0"/>
        <v>0.35347222222222219</v>
      </c>
      <c r="J69" s="9">
        <f t="shared" si="1"/>
        <v>0.33263888888888893</v>
      </c>
      <c r="K69" s="8">
        <f t="shared" si="2"/>
        <v>2.0833333333333259E-2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0.31111111111111112</v>
      </c>
      <c r="E70" s="6">
        <v>0.56874999999999998</v>
      </c>
      <c r="F70" s="6">
        <v>0.69305555555555554</v>
      </c>
      <c r="G70" s="6">
        <v>0.89166666666666661</v>
      </c>
      <c r="I70" s="9">
        <f t="shared" ref="I70:I80" si="3">IF(AND(D70 &lt;&gt; "", G70 &lt;&gt; ""), G70 - D70, "-")</f>
        <v>0.58055555555555549</v>
      </c>
      <c r="J70" s="9">
        <f t="shared" ref="J70:J80" si="4">IF(AND(D70 &lt;&gt; "", E70 &lt;&gt; "", F70 &lt;&gt; "", G70 &lt;&gt; ""), (E70 - D70)  + (G70 - F70), "-")</f>
        <v>0.45624999999999993</v>
      </c>
      <c r="K70" s="8">
        <f t="shared" ref="K70:K80" si="5">SUM(I70-J70)</f>
        <v>0.12430555555555556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25"/>
      <c r="E72" s="25"/>
      <c r="F72" s="25"/>
      <c r="G72" s="2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0.6875</v>
      </c>
      <c r="F73" s="6">
        <v>0.62638888888888888</v>
      </c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6">
        <v>0.30486111111111108</v>
      </c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0.53541666666666665</v>
      </c>
      <c r="F77" s="6">
        <v>0.6069444444444444</v>
      </c>
      <c r="G77" s="6">
        <v>0.875</v>
      </c>
      <c r="I77" s="9">
        <f t="shared" si="3"/>
        <v>0.55833333333333335</v>
      </c>
      <c r="J77" s="9">
        <f t="shared" si="4"/>
        <v>0.4868055555555556</v>
      </c>
      <c r="K77" s="8">
        <f t="shared" si="5"/>
        <v>7.1527777777777746E-2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>
        <v>0.31319444444444444</v>
      </c>
      <c r="E80" s="1"/>
      <c r="F80" s="1"/>
      <c r="G80" s="6">
        <v>0.67291666666666661</v>
      </c>
      <c r="I80" s="9">
        <f t="shared" si="3"/>
        <v>0.35972222222222217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197" priority="16">
      <formula>$I5 &lt; TIME(12,0,0)</formula>
    </cfRule>
  </conditionalFormatting>
  <conditionalFormatting sqref="A5:A80 I61:J80">
    <cfRule type="cellIs" dxfId="196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195" priority="4" operator="between">
      <formula>0.333333333333333</formula>
      <formula>0.375</formula>
    </cfRule>
  </conditionalFormatting>
  <conditionalFormatting sqref="D56:G56">
    <cfRule type="cellIs" dxfId="194" priority="12" operator="between">
      <formula>0.875694444444444</formula>
      <formula>0.999305555555556</formula>
    </cfRule>
    <cfRule type="cellIs" dxfId="193" priority="14" operator="between">
      <formula>0.333333333333333</formula>
      <formula>0.375</formula>
    </cfRule>
  </conditionalFormatting>
  <conditionalFormatting sqref="D5:J9">
    <cfRule type="expression" dxfId="192" priority="6">
      <formula>$I5 &lt; TIME(12,0,0)</formula>
    </cfRule>
  </conditionalFormatting>
  <conditionalFormatting sqref="D5:J12">
    <cfRule type="cellIs" dxfId="191" priority="5" operator="between">
      <formula>0.291666666666667</formula>
      <formula>0.315972222222222</formula>
    </cfRule>
  </conditionalFormatting>
  <conditionalFormatting sqref="D13:J53">
    <cfRule type="cellIs" dxfId="190" priority="1" operator="between">
      <formula>0.291666666666667</formula>
      <formula>0.315972222222222</formula>
    </cfRule>
    <cfRule type="expression" dxfId="189" priority="2">
      <formula>$I13 &lt; TIME(12,0,0)</formula>
    </cfRule>
  </conditionalFormatting>
  <conditionalFormatting sqref="D54:J58">
    <cfRule type="cellIs" dxfId="188" priority="13" operator="between">
      <formula>0.291666666666667</formula>
      <formula>0.315972222222222</formula>
    </cfRule>
  </conditionalFormatting>
  <conditionalFormatting sqref="D59:J60">
    <cfRule type="cellIs" dxfId="187" priority="9" operator="between">
      <formula>0.291666666666667</formula>
      <formula>0.315972222222222</formula>
    </cfRule>
    <cfRule type="expression" dxfId="186" priority="10">
      <formula>$I59 &lt; TIME(12,0,0)</formula>
    </cfRule>
  </conditionalFormatting>
  <conditionalFormatting sqref="G10">
    <cfRule type="cellIs" dxfId="185" priority="3" operator="between">
      <formula>0.875694444444444</formula>
      <formula>0.978472222222222</formula>
    </cfRule>
  </conditionalFormatting>
  <conditionalFormatting sqref="G56">
    <cfRule type="cellIs" dxfId="184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0023-39F7-4D65-B27D-5DBC3A09454A}">
  <dimension ref="A2:L80"/>
  <sheetViews>
    <sheetView workbookViewId="0">
      <pane ySplit="3" topLeftCell="A37" activePane="bottomLeft" state="frozen"/>
      <selection pane="bottomLeft" activeCell="L29" sqref="L29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0.31736111111111115</v>
      </c>
      <c r="E6" s="6">
        <v>0.5625</v>
      </c>
      <c r="F6" s="6">
        <v>0.62986111111111109</v>
      </c>
      <c r="G6" s="7">
        <v>0.875</v>
      </c>
      <c r="I6" s="9">
        <f t="shared" ref="I6:I69" si="0">IF(AND(D6 &lt;&gt; "", G6 &lt;&gt; ""), G6 - D6, "-")</f>
        <v>0.5576388888888888</v>
      </c>
      <c r="J6" s="9">
        <f t="shared" ref="J6:J69" si="1">IF(AND(D6 &lt;&gt; "", E6 &lt;&gt; "", F6 &lt;&gt; "", G6 &lt;&gt; ""), (E6 - D6)  + (G6 - F6), "-")</f>
        <v>0.49027777777777776</v>
      </c>
      <c r="K6" s="8">
        <f t="shared" ref="K6:K69" si="2">SUM(I6-J6)</f>
        <v>6.7361111111111038E-2</v>
      </c>
    </row>
    <row r="7" spans="1:11" x14ac:dyDescent="0.25">
      <c r="A7" s="2">
        <v>3</v>
      </c>
      <c r="B7" s="20">
        <v>6</v>
      </c>
      <c r="C7" s="19" t="s">
        <v>69</v>
      </c>
      <c r="D7" s="6">
        <v>0.31666666666666665</v>
      </c>
      <c r="E7" s="6">
        <v>0.56944444444444442</v>
      </c>
      <c r="F7" s="6">
        <v>0.63680555555555551</v>
      </c>
      <c r="G7" s="7">
        <v>0.87569444444444444</v>
      </c>
      <c r="I7" s="9">
        <f t="shared" si="0"/>
        <v>0.55902777777777779</v>
      </c>
      <c r="J7" s="9">
        <f t="shared" si="1"/>
        <v>0.4916666666666667</v>
      </c>
      <c r="K7" s="8">
        <f t="shared" si="2"/>
        <v>6.7361111111111094E-2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0.53194444444444444</v>
      </c>
      <c r="F10" s="6">
        <v>0.58819444444444446</v>
      </c>
      <c r="G10" s="7">
        <v>0.87291666666666667</v>
      </c>
      <c r="I10" s="9">
        <f t="shared" si="0"/>
        <v>0.56111111111111112</v>
      </c>
      <c r="J10" s="9">
        <f t="shared" si="1"/>
        <v>0.50486111111111109</v>
      </c>
      <c r="K10" s="8">
        <f t="shared" si="2"/>
        <v>5.6250000000000022E-2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0.33958333333333335</v>
      </c>
      <c r="E11" s="6">
        <v>0.55347222222222225</v>
      </c>
      <c r="F11" s="6">
        <v>0.63124999999999998</v>
      </c>
      <c r="G11" s="7">
        <v>0.85416666666666663</v>
      </c>
      <c r="I11" s="9">
        <f t="shared" si="0"/>
        <v>0.51458333333333328</v>
      </c>
      <c r="J11" s="9">
        <f t="shared" si="1"/>
        <v>0.43680555555555556</v>
      </c>
      <c r="K11" s="8">
        <f t="shared" si="2"/>
        <v>7.7777777777777724E-2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0.31319444444444444</v>
      </c>
      <c r="E12" s="6">
        <v>0.55972222222222223</v>
      </c>
      <c r="F12" s="6">
        <v>0.62430555555555556</v>
      </c>
      <c r="G12" s="7">
        <v>0.88055555555555554</v>
      </c>
      <c r="I12" s="9">
        <f t="shared" si="0"/>
        <v>0.56736111111111109</v>
      </c>
      <c r="J12" s="9">
        <f t="shared" si="1"/>
        <v>0.50277777777777777</v>
      </c>
      <c r="K12" s="8">
        <f t="shared" si="2"/>
        <v>6.4583333333333326E-2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0.35555555555555557</v>
      </c>
      <c r="E13" s="6"/>
      <c r="F13" s="6"/>
      <c r="G13" s="7">
        <v>0.69305555555555554</v>
      </c>
      <c r="I13" s="9">
        <f t="shared" si="0"/>
        <v>0.33749999999999997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0.51736111111111105</v>
      </c>
      <c r="E14" s="6"/>
      <c r="F14" s="6"/>
      <c r="G14" s="7">
        <v>0.875</v>
      </c>
      <c r="I14" s="9">
        <f t="shared" si="0"/>
        <v>0.35763888888888895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>
        <v>0.56736111111111109</v>
      </c>
      <c r="F15" s="6">
        <v>0.62222222222222223</v>
      </c>
      <c r="G15" s="7">
        <v>0.8618055555555556</v>
      </c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0.42152777777777778</v>
      </c>
      <c r="F16" s="6">
        <v>0.53749999999999998</v>
      </c>
      <c r="G16" s="7">
        <v>0.8569444444444444</v>
      </c>
      <c r="I16" s="9">
        <f t="shared" si="0"/>
        <v>0.54374999999999996</v>
      </c>
      <c r="J16" s="9">
        <f t="shared" si="1"/>
        <v>0.42777777777777776</v>
      </c>
      <c r="K16" s="8">
        <f t="shared" si="2"/>
        <v>0.1159722222222222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0.3125</v>
      </c>
      <c r="E17" s="6">
        <v>0.69027777777777777</v>
      </c>
      <c r="F17" s="6">
        <v>0.75486111111111109</v>
      </c>
      <c r="G17" s="7">
        <v>0.87291666666666667</v>
      </c>
      <c r="I17" s="9">
        <f t="shared" si="0"/>
        <v>0.56041666666666667</v>
      </c>
      <c r="J17" s="9">
        <f t="shared" si="1"/>
        <v>0.49583333333333335</v>
      </c>
      <c r="K17" s="8">
        <f t="shared" si="2"/>
        <v>6.4583333333333326E-2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>
        <v>0.31319444444444444</v>
      </c>
      <c r="E19" s="6"/>
      <c r="F19" s="6"/>
      <c r="G19" s="7">
        <v>0.86458333333333337</v>
      </c>
      <c r="I19" s="9">
        <f t="shared" si="0"/>
        <v>0.55138888888888893</v>
      </c>
      <c r="J19" s="9" t="str">
        <f t="shared" si="1"/>
        <v>-</v>
      </c>
      <c r="K19" s="8" t="e">
        <f t="shared" si="2"/>
        <v>#VALUE!</v>
      </c>
      <c r="L19">
        <v>1.5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0.31458333333333333</v>
      </c>
      <c r="E20" s="6">
        <v>0.53680555555555554</v>
      </c>
      <c r="F20" s="6">
        <v>0.59861111111111109</v>
      </c>
      <c r="G20" s="7">
        <v>0.87708333333333333</v>
      </c>
      <c r="I20" s="9">
        <f t="shared" si="0"/>
        <v>0.5625</v>
      </c>
      <c r="J20" s="9">
        <f t="shared" si="1"/>
        <v>0.50069444444444444</v>
      </c>
      <c r="K20" s="8">
        <f t="shared" si="2"/>
        <v>6.1805555555555558E-2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0.31041666666666667</v>
      </c>
      <c r="E21" s="6">
        <v>0.46875</v>
      </c>
      <c r="F21" s="6">
        <v>0.53194444444444444</v>
      </c>
      <c r="G21" s="7">
        <v>0.875</v>
      </c>
      <c r="I21" s="9">
        <f t="shared" si="0"/>
        <v>0.56458333333333333</v>
      </c>
      <c r="J21" s="9">
        <f t="shared" si="1"/>
        <v>0.50138888888888888</v>
      </c>
      <c r="K21" s="8">
        <f t="shared" si="2"/>
        <v>6.3194444444444442E-2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0.32222222222222224</v>
      </c>
      <c r="E22" s="6">
        <v>0.55902777777777779</v>
      </c>
      <c r="F22" s="6">
        <v>0.63472222222222219</v>
      </c>
      <c r="G22" s="7">
        <v>0.88611111111111107</v>
      </c>
      <c r="I22" s="9">
        <f t="shared" si="0"/>
        <v>0.56388888888888888</v>
      </c>
      <c r="J22" s="9">
        <f t="shared" si="1"/>
        <v>0.48819444444444443</v>
      </c>
      <c r="K22" s="8">
        <f t="shared" si="2"/>
        <v>7.5694444444444453E-2</v>
      </c>
    </row>
    <row r="23" spans="1:12" x14ac:dyDescent="0.25">
      <c r="A23" s="2">
        <v>19</v>
      </c>
      <c r="B23" s="20">
        <v>31</v>
      </c>
      <c r="C23" s="5" t="s">
        <v>14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0.31875000000000003</v>
      </c>
      <c r="E27" s="6">
        <v>0.625</v>
      </c>
      <c r="F27" s="6">
        <v>0.73125000000000007</v>
      </c>
      <c r="G27" s="7">
        <v>0.87361111111111101</v>
      </c>
      <c r="I27" s="9">
        <f t="shared" si="0"/>
        <v>0.55486111111111103</v>
      </c>
      <c r="J27" s="9">
        <f t="shared" si="1"/>
        <v>0.44861111111111091</v>
      </c>
      <c r="K27" s="8">
        <f t="shared" si="2"/>
        <v>0.10625000000000012</v>
      </c>
      <c r="L27" s="8">
        <v>4.1666666666666664E-2</v>
      </c>
    </row>
    <row r="28" spans="1:12" x14ac:dyDescent="0.25">
      <c r="A28" s="2">
        <v>24</v>
      </c>
      <c r="B28" s="20">
        <v>38</v>
      </c>
      <c r="C28" s="5" t="s">
        <v>57</v>
      </c>
      <c r="D28" s="6">
        <v>0.3125</v>
      </c>
      <c r="E28" s="6"/>
      <c r="F28" s="6"/>
      <c r="G28" s="7">
        <v>0.89722222222222225</v>
      </c>
      <c r="I28" s="9">
        <f t="shared" si="0"/>
        <v>0.58472222222222225</v>
      </c>
      <c r="J28" s="9" t="str">
        <f t="shared" si="1"/>
        <v>-</v>
      </c>
      <c r="K28" s="8" t="e">
        <f t="shared" si="2"/>
        <v>#VALUE!</v>
      </c>
      <c r="L28" s="8">
        <v>2.0833333333333332E-2</v>
      </c>
    </row>
    <row r="29" spans="1:12" x14ac:dyDescent="0.25">
      <c r="A29" s="2">
        <v>25</v>
      </c>
      <c r="B29" s="20">
        <v>40</v>
      </c>
      <c r="C29" s="5" t="s">
        <v>16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>
        <v>0.3125</v>
      </c>
      <c r="E30" s="6">
        <v>0.50416666666666665</v>
      </c>
      <c r="F30" s="6">
        <v>0.57152777777777775</v>
      </c>
      <c r="G30" s="7">
        <v>0.8833333333333333</v>
      </c>
      <c r="I30" s="9">
        <f t="shared" si="0"/>
        <v>0.5708333333333333</v>
      </c>
      <c r="J30" s="9">
        <f t="shared" si="1"/>
        <v>0.50347222222222221</v>
      </c>
      <c r="K30" s="8">
        <f t="shared" si="2"/>
        <v>6.7361111111111094E-2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0.31388888888888888</v>
      </c>
      <c r="E31" s="6">
        <v>0.51597222222222217</v>
      </c>
      <c r="F31" s="6">
        <v>0.58402777777777781</v>
      </c>
      <c r="G31" s="7">
        <v>0.87430555555555556</v>
      </c>
      <c r="I31" s="9">
        <f t="shared" si="0"/>
        <v>0.56041666666666667</v>
      </c>
      <c r="J31" s="9">
        <f t="shared" si="1"/>
        <v>0.49236111111111103</v>
      </c>
      <c r="K31" s="8">
        <f t="shared" si="2"/>
        <v>6.8055555555555647E-2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0.31041666666666667</v>
      </c>
      <c r="E32" s="6">
        <v>0.65763888888888888</v>
      </c>
      <c r="F32" s="6">
        <v>0.72916666666666663</v>
      </c>
      <c r="G32" s="7">
        <v>0.87708333333333333</v>
      </c>
      <c r="I32" s="9">
        <f t="shared" si="0"/>
        <v>0.56666666666666665</v>
      </c>
      <c r="J32" s="9">
        <f t="shared" si="1"/>
        <v>0.49513888888888891</v>
      </c>
      <c r="K32" s="8">
        <f t="shared" si="2"/>
        <v>7.1527777777777746E-2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>
        <v>0.40972222222222227</v>
      </c>
      <c r="E34" s="6"/>
      <c r="F34" s="6"/>
      <c r="G34" s="7">
        <v>0.72986111111111107</v>
      </c>
      <c r="I34" s="9">
        <f t="shared" si="0"/>
        <v>0.32013888888888881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>
        <v>0.50555555555555554</v>
      </c>
      <c r="E35" s="6"/>
      <c r="F35" s="6"/>
      <c r="G35" s="7">
        <v>0.84513888888888899</v>
      </c>
      <c r="I35" s="9">
        <f t="shared" si="0"/>
        <v>0.33958333333333346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>
        <v>0.31597222222222221</v>
      </c>
      <c r="E36" s="6">
        <v>0.59791666666666665</v>
      </c>
      <c r="F36" s="6">
        <v>0.70694444444444438</v>
      </c>
      <c r="G36" s="7">
        <v>0.87430555555555556</v>
      </c>
      <c r="I36" s="9">
        <f t="shared" si="0"/>
        <v>0.55833333333333335</v>
      </c>
      <c r="J36" s="9">
        <f t="shared" si="1"/>
        <v>0.44930555555555562</v>
      </c>
      <c r="K36" s="8">
        <f t="shared" si="2"/>
        <v>0.10902777777777772</v>
      </c>
    </row>
    <row r="37" spans="1:11" x14ac:dyDescent="0.25">
      <c r="A37" s="2">
        <v>33</v>
      </c>
      <c r="B37" s="20">
        <v>76</v>
      </c>
      <c r="C37" s="19" t="s">
        <v>29</v>
      </c>
      <c r="D37" s="6">
        <v>0.31458333333333333</v>
      </c>
      <c r="E37" s="6">
        <v>0.625</v>
      </c>
      <c r="F37" s="6">
        <v>0.68819444444444444</v>
      </c>
      <c r="G37" s="7">
        <v>0.87986111111111109</v>
      </c>
      <c r="I37" s="9">
        <f t="shared" si="0"/>
        <v>0.56527777777777777</v>
      </c>
      <c r="J37" s="9">
        <f t="shared" si="1"/>
        <v>0.50208333333333333</v>
      </c>
      <c r="K37" s="8">
        <f t="shared" si="2"/>
        <v>6.3194444444444442E-2</v>
      </c>
    </row>
    <row r="38" spans="1:11" x14ac:dyDescent="0.25">
      <c r="A38" s="2">
        <v>34</v>
      </c>
      <c r="B38" s="20">
        <v>77</v>
      </c>
      <c r="C38" s="17" t="s">
        <v>42</v>
      </c>
      <c r="D38" s="6">
        <v>0.56458333333333333</v>
      </c>
      <c r="E38" s="6"/>
      <c r="F38" s="6"/>
      <c r="G38" s="7">
        <v>0.92083333333333339</v>
      </c>
      <c r="I38" s="9">
        <f t="shared" si="0"/>
        <v>0.35625000000000007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>
        <v>0.51874999999999993</v>
      </c>
      <c r="E40" s="6">
        <v>0.73819444444444438</v>
      </c>
      <c r="F40" s="6">
        <v>0.76388888888888884</v>
      </c>
      <c r="G40" s="7">
        <v>0.87986111111111109</v>
      </c>
      <c r="I40" s="9">
        <f t="shared" si="0"/>
        <v>0.36111111111111116</v>
      </c>
      <c r="J40" s="9">
        <f t="shared" si="1"/>
        <v>0.3354166666666667</v>
      </c>
      <c r="K40" s="8">
        <f t="shared" si="2"/>
        <v>2.5694444444444464E-2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0.31805555555555554</v>
      </c>
      <c r="E41" s="6">
        <v>0.34861111111111115</v>
      </c>
      <c r="F41" s="6">
        <v>0.43194444444444446</v>
      </c>
      <c r="G41" s="7">
        <v>0.87430555555555556</v>
      </c>
      <c r="I41" s="9">
        <f t="shared" si="0"/>
        <v>0.55625000000000002</v>
      </c>
      <c r="J41" s="9">
        <f t="shared" si="1"/>
        <v>0.47291666666666671</v>
      </c>
      <c r="K41" s="8">
        <f t="shared" si="2"/>
        <v>8.3333333333333315E-2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0.69652777777777775</v>
      </c>
      <c r="F42" s="6">
        <v>0.7583333333333333</v>
      </c>
      <c r="G42" s="7">
        <v>0.87777777777777777</v>
      </c>
      <c r="I42" s="9">
        <f t="shared" si="0"/>
        <v>0.5625</v>
      </c>
      <c r="J42" s="9">
        <f t="shared" si="1"/>
        <v>0.50069444444444444</v>
      </c>
      <c r="K42" s="8">
        <f t="shared" si="2"/>
        <v>6.1805555555555558E-2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26">
        <v>46248.100694444445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>
        <v>0.3215277777777778</v>
      </c>
      <c r="E44" s="6">
        <v>0.52013888888888882</v>
      </c>
      <c r="F44" s="6">
        <v>0.59513888888888888</v>
      </c>
      <c r="G44" s="7">
        <v>0.87916666666666676</v>
      </c>
      <c r="I44" s="9">
        <f t="shared" si="0"/>
        <v>0.55763888888888902</v>
      </c>
      <c r="J44" s="9">
        <f t="shared" si="1"/>
        <v>0.4826388888888889</v>
      </c>
      <c r="K44" s="8">
        <f t="shared" si="2"/>
        <v>7.5000000000000122E-2</v>
      </c>
    </row>
    <row r="45" spans="1:11" x14ac:dyDescent="0.25">
      <c r="A45" s="2">
        <v>41</v>
      </c>
      <c r="B45" s="21">
        <v>115</v>
      </c>
      <c r="C45" s="17" t="s">
        <v>38</v>
      </c>
      <c r="D45" s="6"/>
      <c r="E45" s="1"/>
      <c r="F45" s="1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0.81388888888888899</v>
      </c>
      <c r="I49" s="9">
        <f t="shared" si="0"/>
        <v>0.50208333333333344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>
        <v>0.56319444444444444</v>
      </c>
      <c r="E50" s="6"/>
      <c r="F50" s="6"/>
      <c r="G50" s="7">
        <v>0.875</v>
      </c>
      <c r="I50" s="9">
        <f t="shared" si="0"/>
        <v>0.31180555555555556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0.55069444444444449</v>
      </c>
      <c r="E51" s="6"/>
      <c r="F51" s="6"/>
      <c r="G51" s="7">
        <v>0.9243055555555556</v>
      </c>
      <c r="I51" s="9">
        <f t="shared" si="0"/>
        <v>0.37361111111111112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0.3215277777777778</v>
      </c>
      <c r="E52" s="6">
        <v>0.4694444444444445</v>
      </c>
      <c r="F52" s="6">
        <v>0.54027777777777775</v>
      </c>
      <c r="G52" s="7">
        <v>0.875</v>
      </c>
      <c r="I52" s="9">
        <f t="shared" si="0"/>
        <v>0.55347222222222214</v>
      </c>
      <c r="J52" s="9">
        <f t="shared" si="1"/>
        <v>0.48263888888888895</v>
      </c>
      <c r="K52" s="8">
        <f t="shared" si="2"/>
        <v>7.0833333333333193E-2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0.31527777777777777</v>
      </c>
      <c r="E56" s="6">
        <v>0.70833333333333337</v>
      </c>
      <c r="F56" s="6">
        <v>0.81180555555555556</v>
      </c>
      <c r="G56" s="7">
        <v>0.87986111111111109</v>
      </c>
      <c r="I56" s="9">
        <f t="shared" si="0"/>
        <v>0.56458333333333333</v>
      </c>
      <c r="J56" s="9">
        <f t="shared" si="1"/>
        <v>0.46111111111111114</v>
      </c>
      <c r="K56" s="8">
        <f t="shared" si="2"/>
        <v>0.10347222222222219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0.31180555555555556</v>
      </c>
      <c r="E57" s="6">
        <v>0.60763888888888895</v>
      </c>
      <c r="F57" s="6">
        <v>0.6791666666666667</v>
      </c>
      <c r="G57" s="7">
        <v>0.87152777777777779</v>
      </c>
      <c r="I57" s="9">
        <f t="shared" si="0"/>
        <v>0.55972222222222223</v>
      </c>
      <c r="J57" s="9">
        <f t="shared" si="1"/>
        <v>0.48819444444444449</v>
      </c>
      <c r="K57" s="8">
        <f t="shared" si="2"/>
        <v>7.1527777777777746E-2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0.52777777777777779</v>
      </c>
      <c r="F58" s="6">
        <v>0.59236111111111112</v>
      </c>
      <c r="G58" s="7">
        <v>0.875</v>
      </c>
      <c r="I58" s="9">
        <f t="shared" si="0"/>
        <v>0.5625</v>
      </c>
      <c r="J58" s="9">
        <f t="shared" si="1"/>
        <v>0.49791666666666667</v>
      </c>
      <c r="K58" s="8">
        <f t="shared" si="2"/>
        <v>6.4583333333333326E-2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0.31388888888888888</v>
      </c>
      <c r="E61" s="6">
        <v>0.56597222222222221</v>
      </c>
      <c r="F61" s="6">
        <v>0.63263888888888886</v>
      </c>
      <c r="G61" s="7">
        <v>0.875</v>
      </c>
      <c r="I61" s="9">
        <f t="shared" si="0"/>
        <v>0.56111111111111112</v>
      </c>
      <c r="J61" s="9">
        <f t="shared" si="1"/>
        <v>0.49444444444444446</v>
      </c>
      <c r="K61" s="8">
        <f t="shared" si="2"/>
        <v>6.6666666666666652E-2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0.56319444444444444</v>
      </c>
      <c r="E64" s="6"/>
      <c r="F64" s="6"/>
      <c r="G64" s="6">
        <v>0.92222222222222217</v>
      </c>
      <c r="I64" s="9">
        <f t="shared" si="0"/>
        <v>0.35902777777777772</v>
      </c>
      <c r="J64" s="9" t="str">
        <f t="shared" si="1"/>
        <v>-</v>
      </c>
      <c r="K64" s="8" t="e">
        <f t="shared" si="2"/>
        <v>#VALUE!</v>
      </c>
    </row>
    <row r="65" spans="1:12" x14ac:dyDescent="0.25">
      <c r="A65" s="2">
        <v>61</v>
      </c>
      <c r="B65" s="20">
        <v>176</v>
      </c>
      <c r="C65" s="19" t="s">
        <v>66</v>
      </c>
      <c r="D65" s="6">
        <v>0.30555555555555552</v>
      </c>
      <c r="E65" s="6">
        <v>0.47916666666666669</v>
      </c>
      <c r="F65" s="6">
        <v>0.5395833333333333</v>
      </c>
      <c r="G65" s="6">
        <v>0.87013888888888891</v>
      </c>
      <c r="I65" s="9">
        <f t="shared" si="0"/>
        <v>0.56458333333333344</v>
      </c>
      <c r="J65" s="9">
        <f t="shared" si="1"/>
        <v>0.50416666666666676</v>
      </c>
      <c r="K65" s="8">
        <f t="shared" si="2"/>
        <v>6.0416666666666674E-2</v>
      </c>
    </row>
    <row r="66" spans="1:12" x14ac:dyDescent="0.25">
      <c r="A66" s="2">
        <v>62</v>
      </c>
      <c r="B66" s="20">
        <v>177</v>
      </c>
      <c r="C66" s="17" t="s">
        <v>68</v>
      </c>
      <c r="D66" s="6">
        <v>0.31666666666666665</v>
      </c>
      <c r="E66" s="1"/>
      <c r="F66" s="1"/>
      <c r="G66" s="6">
        <v>0.67152777777777783</v>
      </c>
      <c r="I66" s="9">
        <f t="shared" si="0"/>
        <v>0.35486111111111118</v>
      </c>
      <c r="J66" s="9" t="str">
        <f t="shared" si="1"/>
        <v>-</v>
      </c>
      <c r="K66" s="8" t="e">
        <f t="shared" si="2"/>
        <v>#VALUE!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0.31458333333333333</v>
      </c>
      <c r="E67" s="6">
        <v>0.63402777777777775</v>
      </c>
      <c r="F67" s="6">
        <v>0.65486111111111112</v>
      </c>
      <c r="G67" s="6">
        <v>0.67847222222222225</v>
      </c>
      <c r="I67" s="9">
        <f t="shared" si="0"/>
        <v>0.36388888888888893</v>
      </c>
      <c r="J67" s="9">
        <f t="shared" si="1"/>
        <v>0.34305555555555556</v>
      </c>
      <c r="K67" s="8">
        <f t="shared" si="2"/>
        <v>2.083333333333337E-2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0.52222222222222225</v>
      </c>
      <c r="E68" s="1"/>
      <c r="F68" s="1"/>
      <c r="G68" s="6">
        <v>0.88611111111111107</v>
      </c>
      <c r="I68" s="9">
        <f t="shared" si="0"/>
        <v>0.36388888888888882</v>
      </c>
      <c r="J68" s="9" t="str">
        <f t="shared" si="1"/>
        <v>-</v>
      </c>
      <c r="K68" s="8" t="e">
        <f t="shared" si="2"/>
        <v>#VALUE!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0.52152777777777781</v>
      </c>
      <c r="E69" s="6">
        <v>0.66111111111111109</v>
      </c>
      <c r="F69" s="6">
        <v>0.68194444444444446</v>
      </c>
      <c r="G69" s="6">
        <v>0.87291666666666667</v>
      </c>
      <c r="I69" s="9">
        <f t="shared" si="0"/>
        <v>0.35138888888888886</v>
      </c>
      <c r="J69" s="9">
        <f t="shared" si="1"/>
        <v>0.33055555555555549</v>
      </c>
      <c r="K69" s="8">
        <f t="shared" si="2"/>
        <v>2.083333333333337E-2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0.32083333333333336</v>
      </c>
      <c r="E70" s="6">
        <v>0.62708333333333333</v>
      </c>
      <c r="F70" s="6">
        <v>0.69305555555555554</v>
      </c>
      <c r="G70" s="6">
        <v>0.88263888888888886</v>
      </c>
      <c r="I70" s="9">
        <f t="shared" ref="I70:I80" si="3">IF(AND(D70 &lt;&gt; "", G70 &lt;&gt; ""), G70 - D70, "-")</f>
        <v>0.56180555555555545</v>
      </c>
      <c r="J70" s="9">
        <f t="shared" ref="J70:J80" si="4">IF(AND(D70 &lt;&gt; "", E70 &lt;&gt; "", F70 &lt;&gt; "", G70 &lt;&gt; ""), (E70 - D70)  + (G70 - F70), "-")</f>
        <v>0.49583333333333329</v>
      </c>
      <c r="K70" s="8">
        <f t="shared" ref="K70:K80" si="5">SUM(I70-J70)</f>
        <v>6.5972222222222154E-2</v>
      </c>
      <c r="L70">
        <v>1.5</v>
      </c>
    </row>
    <row r="71" spans="1:12" x14ac:dyDescent="0.25">
      <c r="A71" s="2">
        <v>67</v>
      </c>
      <c r="B71" s="20">
        <v>182</v>
      </c>
      <c r="C71" s="17" t="s">
        <v>73</v>
      </c>
      <c r="D71" s="6">
        <v>0.375</v>
      </c>
      <c r="E71" s="1"/>
      <c r="F71" s="1"/>
      <c r="G71" s="6">
        <v>0.75138888888888899</v>
      </c>
      <c r="I71" s="9">
        <f t="shared" si="3"/>
        <v>0.37638888888888899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0.52222222222222225</v>
      </c>
      <c r="E72" s="35">
        <v>0.7368055555555556</v>
      </c>
      <c r="F72" s="35">
        <v>0.7597222222222223</v>
      </c>
      <c r="G72" s="35">
        <v>0.88402777777777775</v>
      </c>
      <c r="I72" s="9">
        <f t="shared" si="3"/>
        <v>0.36180555555555549</v>
      </c>
      <c r="J72" s="9">
        <f t="shared" si="4"/>
        <v>0.3388888888888888</v>
      </c>
      <c r="K72" s="8">
        <f t="shared" si="5"/>
        <v>2.2916666666666696E-2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0.69652777777777775</v>
      </c>
      <c r="F73" s="6">
        <v>0.7583333333333333</v>
      </c>
      <c r="G73" s="6">
        <v>0.87777777777777777</v>
      </c>
      <c r="I73" s="9">
        <f t="shared" si="3"/>
        <v>0.5625</v>
      </c>
      <c r="J73" s="9">
        <f t="shared" si="4"/>
        <v>0.50069444444444444</v>
      </c>
      <c r="K73" s="8">
        <f t="shared" si="5"/>
        <v>6.1805555555555558E-2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0.30624999999999997</v>
      </c>
      <c r="E74" s="1"/>
      <c r="F74" s="1"/>
      <c r="G74" s="6">
        <v>0.67083333333333339</v>
      </c>
      <c r="I74" s="9">
        <f t="shared" si="3"/>
        <v>0.36458333333333343</v>
      </c>
      <c r="J74" s="9" t="str">
        <f t="shared" si="4"/>
        <v>-</v>
      </c>
      <c r="K74" s="8" t="e">
        <f t="shared" si="5"/>
        <v>#VALUE!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0.31736111111111115</v>
      </c>
      <c r="E77" s="6">
        <v>0.5854166666666667</v>
      </c>
      <c r="F77" s="6">
        <v>0.6479166666666667</v>
      </c>
      <c r="G77" s="6">
        <v>0.87638888888888899</v>
      </c>
      <c r="I77" s="9">
        <f t="shared" si="3"/>
        <v>0.5590277777777779</v>
      </c>
      <c r="J77" s="9">
        <f t="shared" si="4"/>
        <v>0.49652777777777785</v>
      </c>
      <c r="K77" s="8">
        <f t="shared" si="5"/>
        <v>6.2500000000000056E-2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2" x14ac:dyDescent="0.25">
      <c r="A80" s="2">
        <v>76</v>
      </c>
      <c r="B80" s="20">
        <v>193</v>
      </c>
      <c r="C80" s="17" t="s">
        <v>84</v>
      </c>
      <c r="D80" s="6">
        <v>0.31319444444444444</v>
      </c>
      <c r="E80" s="1"/>
      <c r="F80" s="1"/>
      <c r="G80" s="6">
        <v>0.67847222222222225</v>
      </c>
      <c r="I80" s="9">
        <f t="shared" si="3"/>
        <v>0.36527777777777781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183" priority="16">
      <formula>$I5 &lt; TIME(12,0,0)</formula>
    </cfRule>
  </conditionalFormatting>
  <conditionalFormatting sqref="A5:A80 I61:J80">
    <cfRule type="cellIs" dxfId="182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181" priority="4" operator="between">
      <formula>0.333333333333333</formula>
      <formula>0.375</formula>
    </cfRule>
  </conditionalFormatting>
  <conditionalFormatting sqref="D56:G56">
    <cfRule type="cellIs" dxfId="180" priority="12" operator="between">
      <formula>0.875694444444444</formula>
      <formula>0.999305555555556</formula>
    </cfRule>
    <cfRule type="cellIs" dxfId="179" priority="14" operator="between">
      <formula>0.333333333333333</formula>
      <formula>0.375</formula>
    </cfRule>
  </conditionalFormatting>
  <conditionalFormatting sqref="D5:J9">
    <cfRule type="expression" dxfId="178" priority="6">
      <formula>$I5 &lt; TIME(12,0,0)</formula>
    </cfRule>
  </conditionalFormatting>
  <conditionalFormatting sqref="D5:J12">
    <cfRule type="cellIs" dxfId="177" priority="5" operator="between">
      <formula>0.291666666666667</formula>
      <formula>0.315972222222222</formula>
    </cfRule>
  </conditionalFormatting>
  <conditionalFormatting sqref="D13:J53">
    <cfRule type="cellIs" dxfId="176" priority="1" operator="between">
      <formula>0.291666666666667</formula>
      <formula>0.315972222222222</formula>
    </cfRule>
    <cfRule type="expression" dxfId="175" priority="2">
      <formula>$I13 &lt; TIME(12,0,0)</formula>
    </cfRule>
  </conditionalFormatting>
  <conditionalFormatting sqref="D54:J58">
    <cfRule type="cellIs" dxfId="174" priority="13" operator="between">
      <formula>0.291666666666667</formula>
      <formula>0.315972222222222</formula>
    </cfRule>
  </conditionalFormatting>
  <conditionalFormatting sqref="D59:J60">
    <cfRule type="cellIs" dxfId="173" priority="9" operator="between">
      <formula>0.291666666666667</formula>
      <formula>0.315972222222222</formula>
    </cfRule>
    <cfRule type="expression" dxfId="172" priority="10">
      <formula>$I59 &lt; TIME(12,0,0)</formula>
    </cfRule>
  </conditionalFormatting>
  <conditionalFormatting sqref="G10">
    <cfRule type="cellIs" dxfId="171" priority="3" operator="between">
      <formula>0.875694444444444</formula>
      <formula>0.978472222222222</formula>
    </cfRule>
  </conditionalFormatting>
  <conditionalFormatting sqref="G56">
    <cfRule type="cellIs" dxfId="170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22ED-3B9F-416F-9462-50D8A63D6F65}">
  <dimension ref="A2:M80"/>
  <sheetViews>
    <sheetView workbookViewId="0">
      <pane ySplit="3" topLeftCell="A46" activePane="bottomLeft" state="frozen"/>
      <selection pane="bottomLeft" activeCell="L28" sqref="L28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0.31666666666666665</v>
      </c>
      <c r="E6" s="6"/>
      <c r="F6" s="6"/>
      <c r="G6" s="7">
        <v>0.82291666666666663</v>
      </c>
      <c r="I6" s="9">
        <f t="shared" ref="I6:I69" si="0">IF(AND(D6 &lt;&gt; "", G6 &lt;&gt; ""), G6 - D6, "-")</f>
        <v>0.50624999999999998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0.61875000000000002</v>
      </c>
      <c r="E7" s="6"/>
      <c r="F7" s="6"/>
      <c r="G7" s="7">
        <v>0.90625</v>
      </c>
      <c r="I7" s="9">
        <f t="shared" si="0"/>
        <v>0.28749999999999998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0.45763888888888887</v>
      </c>
      <c r="F10" s="6">
        <v>0.51527777777777783</v>
      </c>
      <c r="G10" s="7">
        <v>0.87361111111111101</v>
      </c>
      <c r="I10" s="9">
        <f t="shared" si="0"/>
        <v>0.56180555555555545</v>
      </c>
      <c r="J10" s="9">
        <f t="shared" si="1"/>
        <v>0.50416666666666643</v>
      </c>
      <c r="K10" s="8">
        <f t="shared" si="2"/>
        <v>5.7638888888889017E-2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0.34166666666666662</v>
      </c>
      <c r="E11" s="6">
        <v>0.56041666666666667</v>
      </c>
      <c r="F11" s="6">
        <v>0.62013888888888891</v>
      </c>
      <c r="G11" s="7">
        <v>0.8520833333333333</v>
      </c>
      <c r="I11" s="9">
        <f t="shared" si="0"/>
        <v>0.51041666666666674</v>
      </c>
      <c r="J11" s="9">
        <f t="shared" si="1"/>
        <v>0.45069444444444445</v>
      </c>
      <c r="K11" s="8">
        <f t="shared" si="2"/>
        <v>5.9722222222222288E-2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0.3125</v>
      </c>
      <c r="E12" s="6">
        <v>0.51180555555555551</v>
      </c>
      <c r="F12" s="6">
        <v>0.56666666666666665</v>
      </c>
      <c r="G12" s="7">
        <v>0.87083333333333324</v>
      </c>
      <c r="I12" s="9">
        <f t="shared" si="0"/>
        <v>0.55833333333333324</v>
      </c>
      <c r="J12" s="9">
        <f t="shared" si="1"/>
        <v>0.5034722222222221</v>
      </c>
      <c r="K12" s="8">
        <f t="shared" si="2"/>
        <v>5.4861111111111138E-2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0.33819444444444446</v>
      </c>
      <c r="E13" s="6"/>
      <c r="F13" s="6"/>
      <c r="G13" s="7">
        <v>0.66875000000000007</v>
      </c>
      <c r="I13" s="9">
        <f t="shared" si="0"/>
        <v>0.3305555555555556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0.31597222222222221</v>
      </c>
      <c r="E14" s="6"/>
      <c r="F14" s="6"/>
      <c r="G14" s="7">
        <v>0.6694444444444444</v>
      </c>
      <c r="I14" s="9">
        <f t="shared" si="0"/>
        <v>0.35347222222222219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0.34722222222222227</v>
      </c>
      <c r="E15" s="6">
        <v>0.54722222222222217</v>
      </c>
      <c r="F15" s="6">
        <v>0.62847222222222221</v>
      </c>
      <c r="G15" s="7">
        <v>0.87638888888888899</v>
      </c>
      <c r="I15" s="9">
        <f t="shared" si="0"/>
        <v>0.52916666666666679</v>
      </c>
      <c r="J15" s="9">
        <f t="shared" si="1"/>
        <v>0.44791666666666669</v>
      </c>
      <c r="K15" s="8">
        <f t="shared" si="2"/>
        <v>8.12500000000001E-2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0.31319444444444444</v>
      </c>
      <c r="E17" s="6">
        <v>0.65555555555555556</v>
      </c>
      <c r="F17" s="6">
        <v>0.71875</v>
      </c>
      <c r="G17" s="7">
        <v>0.87361111111111101</v>
      </c>
      <c r="I17" s="9">
        <f t="shared" si="0"/>
        <v>0.56041666666666656</v>
      </c>
      <c r="J17" s="9">
        <f t="shared" si="1"/>
        <v>0.49722222222222212</v>
      </c>
      <c r="K17" s="8">
        <f t="shared" si="2"/>
        <v>6.3194444444444442E-2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>
        <v>0.31319444444444444</v>
      </c>
      <c r="E19" s="6"/>
      <c r="F19" s="6"/>
      <c r="G19" s="7">
        <v>0.66666666666666663</v>
      </c>
      <c r="I19" s="9">
        <f t="shared" si="0"/>
        <v>0.35347222222222219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0.31527777777777777</v>
      </c>
      <c r="E20" s="6">
        <v>0.52013888888888882</v>
      </c>
      <c r="F20" s="6">
        <v>0.5708333333333333</v>
      </c>
      <c r="G20" s="7">
        <v>0.92986111111111114</v>
      </c>
      <c r="I20" s="9">
        <f t="shared" si="0"/>
        <v>0.61458333333333337</v>
      </c>
      <c r="J20" s="9">
        <f t="shared" si="1"/>
        <v>0.56388888888888888</v>
      </c>
      <c r="K20" s="8">
        <f t="shared" si="2"/>
        <v>5.0694444444444486E-2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0.30972222222222223</v>
      </c>
      <c r="E21" s="6">
        <v>0.52222222222222225</v>
      </c>
      <c r="F21" s="6">
        <v>0.58611111111111114</v>
      </c>
      <c r="G21" s="7">
        <v>0.87430555555555556</v>
      </c>
      <c r="I21" s="9">
        <f t="shared" si="0"/>
        <v>0.56458333333333333</v>
      </c>
      <c r="J21" s="9">
        <f t="shared" si="1"/>
        <v>0.50069444444444444</v>
      </c>
      <c r="K21" s="8">
        <f t="shared" si="2"/>
        <v>6.3888888888888884E-2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0.32013888888888892</v>
      </c>
      <c r="E22" s="6">
        <v>0.48819444444444443</v>
      </c>
      <c r="F22" s="6">
        <v>0.5708333333333333</v>
      </c>
      <c r="G22" s="7">
        <v>0.8930555555555556</v>
      </c>
      <c r="I22" s="9">
        <f t="shared" si="0"/>
        <v>0.57291666666666674</v>
      </c>
      <c r="J22" s="9">
        <f t="shared" si="1"/>
        <v>0.49027777777777781</v>
      </c>
      <c r="K22" s="8">
        <f t="shared" si="2"/>
        <v>8.2638888888888928E-2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0.31458333333333333</v>
      </c>
      <c r="E23" s="6">
        <v>0.68472222222222223</v>
      </c>
      <c r="F23" s="6">
        <v>0.76736111111111116</v>
      </c>
      <c r="G23" s="7">
        <v>0.8965277777777777</v>
      </c>
      <c r="I23" s="9">
        <f t="shared" si="0"/>
        <v>0.58194444444444438</v>
      </c>
      <c r="J23" s="9">
        <f t="shared" si="1"/>
        <v>0.49930555555555545</v>
      </c>
      <c r="K23" s="8">
        <f t="shared" si="2"/>
        <v>8.2638888888888928E-2</v>
      </c>
      <c r="L23" t="s">
        <v>88</v>
      </c>
    </row>
    <row r="24" spans="1:12" x14ac:dyDescent="0.25">
      <c r="A24" s="2">
        <v>20</v>
      </c>
      <c r="B24" s="21">
        <v>32</v>
      </c>
      <c r="C24" s="19" t="s">
        <v>17</v>
      </c>
      <c r="D24" s="6">
        <v>0.36041666666666666</v>
      </c>
      <c r="E24" s="6">
        <v>0.48055555555555557</v>
      </c>
      <c r="F24" s="6">
        <v>0.54305555555555551</v>
      </c>
      <c r="G24" s="7">
        <v>0.87986111111111109</v>
      </c>
      <c r="I24" s="9">
        <f t="shared" si="0"/>
        <v>0.51944444444444438</v>
      </c>
      <c r="J24" s="9">
        <f t="shared" si="1"/>
        <v>0.45694444444444449</v>
      </c>
      <c r="K24" s="8">
        <f t="shared" si="2"/>
        <v>6.2499999999999889E-2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0.31736111111111115</v>
      </c>
      <c r="E27" s="6">
        <v>0.6479166666666667</v>
      </c>
      <c r="F27" s="6">
        <v>0.76250000000000007</v>
      </c>
      <c r="G27" s="7">
        <v>0.87361111111111101</v>
      </c>
      <c r="I27" s="9">
        <f t="shared" si="0"/>
        <v>0.55624999999999991</v>
      </c>
      <c r="J27" s="9">
        <f t="shared" si="1"/>
        <v>0.44166666666666649</v>
      </c>
      <c r="K27" s="8">
        <f t="shared" si="2"/>
        <v>0.11458333333333343</v>
      </c>
      <c r="L27" s="8">
        <v>5.2083333333333336E-2</v>
      </c>
    </row>
    <row r="28" spans="1:12" x14ac:dyDescent="0.25">
      <c r="A28" s="2">
        <v>24</v>
      </c>
      <c r="B28" s="20">
        <v>38</v>
      </c>
      <c r="C28" s="5" t="s">
        <v>57</v>
      </c>
      <c r="D28" s="6">
        <v>0.3125</v>
      </c>
      <c r="E28" s="6"/>
      <c r="F28" s="6"/>
      <c r="G28" s="7">
        <v>0.8979166666666667</v>
      </c>
      <c r="I28" s="9">
        <f t="shared" si="0"/>
        <v>0.5854166666666667</v>
      </c>
      <c r="J28" s="9" t="str">
        <f t="shared" si="1"/>
        <v>-</v>
      </c>
      <c r="K28" s="8" t="e">
        <f t="shared" si="2"/>
        <v>#VALUE!</v>
      </c>
      <c r="L28" s="8">
        <v>2.0833333333333332E-2</v>
      </c>
    </row>
    <row r="29" spans="1:12" x14ac:dyDescent="0.25">
      <c r="A29" s="2">
        <v>25</v>
      </c>
      <c r="B29" s="20">
        <v>40</v>
      </c>
      <c r="C29" s="5" t="s">
        <v>16</v>
      </c>
      <c r="D29" s="6">
        <v>0.66875000000000007</v>
      </c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1">
        <v>44</v>
      </c>
      <c r="C30" s="19" t="s">
        <v>20</v>
      </c>
      <c r="D30" s="6">
        <v>0.30833333333333335</v>
      </c>
      <c r="E30" s="6">
        <v>0.50277777777777777</v>
      </c>
      <c r="F30" s="6">
        <v>0.56805555555555554</v>
      </c>
      <c r="G30" s="7">
        <v>0.88680555555555562</v>
      </c>
      <c r="I30" s="9">
        <f t="shared" si="0"/>
        <v>0.57847222222222228</v>
      </c>
      <c r="J30" s="9">
        <f t="shared" si="1"/>
        <v>0.51319444444444451</v>
      </c>
      <c r="K30" s="8">
        <f t="shared" si="2"/>
        <v>6.5277777777777768E-2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0.31458333333333333</v>
      </c>
      <c r="E31" s="6">
        <v>0.50277777777777777</v>
      </c>
      <c r="F31" s="6">
        <v>0.57013888888888886</v>
      </c>
      <c r="G31" s="7">
        <v>0.87361111111111101</v>
      </c>
      <c r="I31" s="9">
        <f t="shared" si="0"/>
        <v>0.55902777777777768</v>
      </c>
      <c r="J31" s="9">
        <f t="shared" si="1"/>
        <v>0.49166666666666659</v>
      </c>
      <c r="K31" s="8">
        <f t="shared" si="2"/>
        <v>6.7361111111111094E-2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0.3125</v>
      </c>
      <c r="E32" s="6">
        <v>0.5854166666666667</v>
      </c>
      <c r="F32" s="6">
        <v>0.64861111111111114</v>
      </c>
      <c r="G32" s="7">
        <v>0.94791666666666663</v>
      </c>
      <c r="I32" s="9">
        <f t="shared" si="0"/>
        <v>0.63541666666666663</v>
      </c>
      <c r="J32" s="9">
        <f t="shared" si="1"/>
        <v>0.57222222222222219</v>
      </c>
      <c r="K32" s="8">
        <f t="shared" si="2"/>
        <v>6.3194444444444442E-2</v>
      </c>
    </row>
    <row r="33" spans="1:13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3" x14ac:dyDescent="0.25">
      <c r="A34" s="2">
        <v>30</v>
      </c>
      <c r="B34" s="20">
        <v>69</v>
      </c>
      <c r="C34" s="17" t="s">
        <v>55</v>
      </c>
      <c r="D34" s="6">
        <v>0.40972222222222227</v>
      </c>
      <c r="E34" s="6"/>
      <c r="F34" s="6"/>
      <c r="G34" s="7">
        <v>0.70277777777777783</v>
      </c>
      <c r="I34" s="9">
        <f t="shared" si="0"/>
        <v>0.29305555555555557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72</v>
      </c>
      <c r="C35" s="17" t="s">
        <v>45</v>
      </c>
      <c r="D35" s="6">
        <v>0.55069444444444449</v>
      </c>
      <c r="E35" s="6"/>
      <c r="F35" s="6"/>
      <c r="G35" s="7">
        <v>0.77847222222222223</v>
      </c>
      <c r="I35" s="9">
        <f t="shared" si="0"/>
        <v>0.22777777777777775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3" x14ac:dyDescent="0.25">
      <c r="A37" s="2">
        <v>33</v>
      </c>
      <c r="B37" s="20">
        <v>76</v>
      </c>
      <c r="C37" s="19" t="s">
        <v>29</v>
      </c>
      <c r="D37" s="6">
        <v>0.31458333333333333</v>
      </c>
      <c r="E37" s="6">
        <v>0.57847222222222217</v>
      </c>
      <c r="F37" s="6">
        <v>0.64236111111111105</v>
      </c>
      <c r="G37" s="7">
        <v>0.87291666666666667</v>
      </c>
      <c r="I37" s="9">
        <f t="shared" si="0"/>
        <v>0.55833333333333335</v>
      </c>
      <c r="J37" s="9">
        <f t="shared" si="1"/>
        <v>0.49444444444444446</v>
      </c>
      <c r="K37" s="8">
        <f t="shared" si="2"/>
        <v>6.3888888888888884E-2</v>
      </c>
    </row>
    <row r="38" spans="1:13" x14ac:dyDescent="0.25">
      <c r="A38" s="2">
        <v>34</v>
      </c>
      <c r="B38" s="20">
        <v>77</v>
      </c>
      <c r="C38" s="17" t="s">
        <v>42</v>
      </c>
      <c r="D38" s="6">
        <v>0.56180555555555556</v>
      </c>
      <c r="E38" s="6"/>
      <c r="F38" s="6"/>
      <c r="G38" s="7">
        <v>0.94861111111111107</v>
      </c>
      <c r="I38" s="9">
        <f t="shared" si="0"/>
        <v>0.38680555555555551</v>
      </c>
      <c r="J38" s="9" t="str">
        <f t="shared" si="1"/>
        <v>-</v>
      </c>
      <c r="K38" s="8" t="e">
        <f t="shared" si="2"/>
        <v>#VALUE!</v>
      </c>
    </row>
    <row r="39" spans="1:13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3" x14ac:dyDescent="0.25">
      <c r="A40" s="2">
        <v>36</v>
      </c>
      <c r="B40" s="21">
        <v>86</v>
      </c>
      <c r="C40" s="17" t="s">
        <v>85</v>
      </c>
      <c r="D40" s="6">
        <v>0.55555555555555558</v>
      </c>
      <c r="E40" s="6">
        <v>0.70833333333333337</v>
      </c>
      <c r="F40" s="6">
        <v>0.73125000000000007</v>
      </c>
      <c r="G40" s="7">
        <v>0.9145833333333333</v>
      </c>
      <c r="I40" s="9">
        <f t="shared" si="0"/>
        <v>0.35902777777777772</v>
      </c>
      <c r="J40" s="9">
        <f t="shared" si="1"/>
        <v>0.33611111111111103</v>
      </c>
      <c r="K40" s="8">
        <f t="shared" si="2"/>
        <v>2.2916666666666696E-2</v>
      </c>
    </row>
    <row r="41" spans="1:13" x14ac:dyDescent="0.25">
      <c r="A41" s="2">
        <v>37</v>
      </c>
      <c r="B41" s="21">
        <v>87</v>
      </c>
      <c r="C41" s="19" t="s">
        <v>47</v>
      </c>
      <c r="D41" s="6"/>
      <c r="E41" s="6">
        <v>0.58819444444444446</v>
      </c>
      <c r="F41" s="6">
        <v>0.65486111111111112</v>
      </c>
      <c r="G41" s="7">
        <v>0.87986111111111109</v>
      </c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0.31597222222222221</v>
      </c>
      <c r="E42" s="6">
        <v>0.61944444444444446</v>
      </c>
      <c r="F42" s="6">
        <v>0.68333333333333324</v>
      </c>
      <c r="G42" s="7">
        <v>0.87569444444444444</v>
      </c>
      <c r="I42" s="9">
        <f t="shared" si="0"/>
        <v>0.55972222222222223</v>
      </c>
      <c r="J42" s="9">
        <f t="shared" si="1"/>
        <v>0.49583333333333346</v>
      </c>
      <c r="K42" s="8">
        <f t="shared" si="2"/>
        <v>6.3888888888888773E-2</v>
      </c>
    </row>
    <row r="43" spans="1:13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4.7916666666666663E-2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3" x14ac:dyDescent="0.25">
      <c r="A44" s="2">
        <v>40</v>
      </c>
      <c r="B44" s="20">
        <v>99</v>
      </c>
      <c r="C44" s="5" t="s">
        <v>13</v>
      </c>
      <c r="D44" s="6">
        <v>0.32013888888888892</v>
      </c>
      <c r="E44" s="6"/>
      <c r="F44" s="6"/>
      <c r="G44" s="7">
        <v>0.6333333333333333</v>
      </c>
      <c r="I44" s="9">
        <f t="shared" si="0"/>
        <v>0.31319444444444439</v>
      </c>
      <c r="J44" s="9" t="str">
        <f t="shared" si="1"/>
        <v>-</v>
      </c>
      <c r="K44" s="8" t="e">
        <f t="shared" si="2"/>
        <v>#VALUE!</v>
      </c>
      <c r="M44">
        <v>0.5</v>
      </c>
    </row>
    <row r="45" spans="1:13" x14ac:dyDescent="0.25">
      <c r="A45" s="2">
        <v>41</v>
      </c>
      <c r="B45" s="21">
        <v>115</v>
      </c>
      <c r="C45" s="17" t="s">
        <v>38</v>
      </c>
      <c r="D45" s="6">
        <v>0.56736111111111109</v>
      </c>
      <c r="E45" s="1"/>
      <c r="F45" s="1"/>
      <c r="G45" s="7">
        <v>0.91805555555555562</v>
      </c>
      <c r="I45" s="9">
        <f t="shared" si="0"/>
        <v>0.35069444444444453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3" x14ac:dyDescent="0.25">
      <c r="A47" s="2">
        <v>43</v>
      </c>
      <c r="B47" s="20">
        <v>117</v>
      </c>
      <c r="C47" s="17" t="s">
        <v>44</v>
      </c>
      <c r="D47" s="6">
        <v>0.31597222222222221</v>
      </c>
      <c r="E47" s="6"/>
      <c r="F47" s="6"/>
      <c r="G47" s="7">
        <v>0.67638888888888893</v>
      </c>
      <c r="I47" s="9">
        <f t="shared" si="0"/>
        <v>0.36041666666666672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0.81319444444444444</v>
      </c>
      <c r="I49" s="9">
        <f t="shared" si="0"/>
        <v>0.50138888888888888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>
        <v>0.34930555555555554</v>
      </c>
      <c r="E50" s="6"/>
      <c r="F50" s="6"/>
      <c r="G50" s="7">
        <v>0.72430555555555554</v>
      </c>
      <c r="I50" s="9">
        <f t="shared" si="0"/>
        <v>0.375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3" x14ac:dyDescent="0.25">
      <c r="A52" s="2">
        <v>48</v>
      </c>
      <c r="B52" s="21">
        <v>143</v>
      </c>
      <c r="C52" s="19" t="s">
        <v>21</v>
      </c>
      <c r="D52" s="6">
        <v>0.31736111111111115</v>
      </c>
      <c r="E52" s="6"/>
      <c r="F52" s="6"/>
      <c r="G52" s="7">
        <v>0.66666666666666663</v>
      </c>
      <c r="I52" s="9">
        <f t="shared" si="0"/>
        <v>0.34930555555555548</v>
      </c>
      <c r="J52" s="9" t="str">
        <f t="shared" si="1"/>
        <v>-</v>
      </c>
      <c r="K52" s="8" t="e">
        <f t="shared" si="2"/>
        <v>#VALUE!</v>
      </c>
      <c r="M52">
        <v>0.5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0.31319444444444444</v>
      </c>
      <c r="E54" s="6">
        <v>0.60138888888888886</v>
      </c>
      <c r="F54" s="6">
        <v>0.68402777777777779</v>
      </c>
      <c r="G54" s="7">
        <v>0.87847222222222221</v>
      </c>
      <c r="I54" s="9">
        <f t="shared" si="0"/>
        <v>0.56527777777777777</v>
      </c>
      <c r="J54" s="9">
        <f t="shared" si="1"/>
        <v>0.48263888888888884</v>
      </c>
      <c r="K54" s="8">
        <f t="shared" si="2"/>
        <v>8.2638888888888928E-2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>
        <v>0.31388888888888888</v>
      </c>
      <c r="E56" s="6">
        <v>0.66249999999999998</v>
      </c>
      <c r="F56" s="6">
        <v>0.71875</v>
      </c>
      <c r="G56" s="7">
        <v>0.87152777777777779</v>
      </c>
      <c r="I56" s="9">
        <f t="shared" si="0"/>
        <v>0.55763888888888891</v>
      </c>
      <c r="J56" s="9">
        <f t="shared" si="1"/>
        <v>0.50138888888888888</v>
      </c>
      <c r="K56" s="8">
        <f t="shared" si="2"/>
        <v>5.6250000000000022E-2</v>
      </c>
    </row>
    <row r="57" spans="1:13" x14ac:dyDescent="0.25">
      <c r="A57" s="2">
        <v>53</v>
      </c>
      <c r="B57" s="21">
        <v>156</v>
      </c>
      <c r="C57" s="19" t="s">
        <v>67</v>
      </c>
      <c r="D57" s="6">
        <v>0.31111111111111112</v>
      </c>
      <c r="E57" s="6">
        <v>0.49652777777777773</v>
      </c>
      <c r="F57" s="6">
        <v>0.5625</v>
      </c>
      <c r="G57" s="7">
        <v>0.8666666666666667</v>
      </c>
      <c r="I57" s="9">
        <f t="shared" si="0"/>
        <v>0.55555555555555558</v>
      </c>
      <c r="J57" s="9">
        <f t="shared" si="1"/>
        <v>0.48958333333333331</v>
      </c>
      <c r="K57" s="8">
        <f t="shared" si="2"/>
        <v>6.5972222222222265E-2</v>
      </c>
    </row>
    <row r="58" spans="1:13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0.49305555555555558</v>
      </c>
      <c r="F58" s="6">
        <v>0.55763888888888891</v>
      </c>
      <c r="G58" s="7">
        <v>0.87986111111111109</v>
      </c>
      <c r="I58" s="9">
        <f t="shared" si="0"/>
        <v>0.56736111111111109</v>
      </c>
      <c r="J58" s="9">
        <f t="shared" si="1"/>
        <v>0.50277777777777777</v>
      </c>
      <c r="K58" s="8">
        <f t="shared" si="2"/>
        <v>6.4583333333333326E-2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>
        <v>0.31388888888888888</v>
      </c>
      <c r="E61" s="6">
        <v>0.56805555555555554</v>
      </c>
      <c r="F61" s="6">
        <v>0.63263888888888886</v>
      </c>
      <c r="G61" s="7">
        <v>0.87708333333333333</v>
      </c>
      <c r="I61" s="9">
        <f t="shared" si="0"/>
        <v>0.56319444444444444</v>
      </c>
      <c r="J61" s="9">
        <f t="shared" si="1"/>
        <v>0.49861111111111112</v>
      </c>
      <c r="K61" s="8">
        <f t="shared" si="2"/>
        <v>6.4583333333333326E-2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0.31527777777777777</v>
      </c>
      <c r="E63" s="6">
        <v>0.62013888888888891</v>
      </c>
      <c r="F63" s="6">
        <v>0.68125000000000002</v>
      </c>
      <c r="G63" s="7">
        <v>0.87291666666666667</v>
      </c>
      <c r="I63" s="9">
        <f t="shared" si="0"/>
        <v>0.55763888888888891</v>
      </c>
      <c r="J63" s="9">
        <f t="shared" si="1"/>
        <v>0.49652777777777779</v>
      </c>
      <c r="K63" s="8">
        <f t="shared" si="2"/>
        <v>6.1111111111111116E-2</v>
      </c>
    </row>
    <row r="64" spans="1:13" x14ac:dyDescent="0.25">
      <c r="A64" s="2">
        <v>60</v>
      </c>
      <c r="B64" s="20">
        <v>175</v>
      </c>
      <c r="C64" s="17" t="s">
        <v>60</v>
      </c>
      <c r="D64" s="6">
        <v>0.56458333333333333</v>
      </c>
      <c r="E64" s="6"/>
      <c r="F64" s="6"/>
      <c r="G64" s="6">
        <v>0.94791666666666663</v>
      </c>
      <c r="I64" s="9">
        <f t="shared" si="0"/>
        <v>0.3833333333333333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0.3034722222222222</v>
      </c>
      <c r="E65" s="6">
        <v>0.46388888888888885</v>
      </c>
      <c r="F65" s="6">
        <v>0.55347222222222225</v>
      </c>
      <c r="G65" s="6">
        <v>0.87083333333333324</v>
      </c>
      <c r="I65" s="9">
        <f t="shared" si="0"/>
        <v>0.56736111111111098</v>
      </c>
      <c r="J65" s="9">
        <f t="shared" si="1"/>
        <v>0.47777777777777763</v>
      </c>
      <c r="K65" s="8">
        <f t="shared" si="2"/>
        <v>8.9583333333333348E-2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0.31319444444444444</v>
      </c>
      <c r="E66" s="1"/>
      <c r="F66" s="1"/>
      <c r="G66" s="6">
        <v>0.66875000000000007</v>
      </c>
      <c r="I66" s="9">
        <f t="shared" si="0"/>
        <v>0.35555555555555562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0.31388888888888888</v>
      </c>
      <c r="E67" s="6">
        <v>0.55486111111111114</v>
      </c>
      <c r="F67" s="6">
        <v>0.5756944444444444</v>
      </c>
      <c r="G67" s="6">
        <v>0.66805555555555562</v>
      </c>
      <c r="I67" s="9">
        <f t="shared" si="0"/>
        <v>0.35416666666666674</v>
      </c>
      <c r="J67" s="9">
        <f t="shared" si="1"/>
        <v>0.33333333333333348</v>
      </c>
      <c r="K67" s="8">
        <f t="shared" si="2"/>
        <v>2.0833333333333259E-2</v>
      </c>
    </row>
    <row r="68" spans="1:11" x14ac:dyDescent="0.25">
      <c r="A68" s="2">
        <v>64</v>
      </c>
      <c r="B68" s="20">
        <v>179</v>
      </c>
      <c r="C68" s="17" t="s">
        <v>63</v>
      </c>
      <c r="D68" s="6">
        <v>0.52430555555555558</v>
      </c>
      <c r="E68" s="1"/>
      <c r="F68" s="1"/>
      <c r="G68" s="6">
        <v>0.90972222222222221</v>
      </c>
      <c r="I68" s="9">
        <f t="shared" si="0"/>
        <v>0.38541666666666663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0.31597222222222221</v>
      </c>
      <c r="E69" s="6">
        <v>0.59305555555555556</v>
      </c>
      <c r="F69" s="6">
        <v>0.61388888888888882</v>
      </c>
      <c r="G69" s="6">
        <v>0.67291666666666661</v>
      </c>
      <c r="I69" s="9">
        <f t="shared" si="0"/>
        <v>0.3569444444444444</v>
      </c>
      <c r="J69" s="9">
        <f t="shared" si="1"/>
        <v>0.33611111111111114</v>
      </c>
      <c r="K69" s="8">
        <f t="shared" si="2"/>
        <v>2.0833333333333259E-2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0.52083333333333337</v>
      </c>
      <c r="E70" s="6"/>
      <c r="F70" s="6"/>
      <c r="G70" s="6">
        <v>0.91805555555555562</v>
      </c>
      <c r="I70" s="9">
        <f t="shared" ref="I70:I80" si="3">IF(AND(D70 &lt;&gt; "", G70 &lt;&gt; ""), G70 - D70, "-")</f>
        <v>0.39722222222222225</v>
      </c>
      <c r="J70" s="9" t="str">
        <f t="shared" ref="J70:J80" si="4">IF(AND(D70 &lt;&gt; "", E70 &lt;&gt; "", F70 &lt;&gt; "", G70 &lt;&gt; ""), (E70 - D70)  + (G70 - F70), "-")</f>
        <v>-</v>
      </c>
      <c r="K70" s="8" t="e">
        <f t="shared" ref="K70:K80" si="5">SUM(I70-J70)</f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6">
        <v>0.51250000000000007</v>
      </c>
      <c r="E71" s="1"/>
      <c r="F71" s="1"/>
      <c r="G71" s="6">
        <v>0.88958333333333339</v>
      </c>
      <c r="I71" s="9">
        <f t="shared" si="3"/>
        <v>0.37708333333333333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0.52430555555555558</v>
      </c>
      <c r="E72" s="25"/>
      <c r="F72" s="25"/>
      <c r="G72" s="35">
        <v>0.88611111111111107</v>
      </c>
      <c r="I72" s="9">
        <f t="shared" si="3"/>
        <v>0.36180555555555549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0.31736111111111115</v>
      </c>
      <c r="E73" s="6">
        <v>0.61875000000000002</v>
      </c>
      <c r="F73" s="6">
        <v>0.68333333333333324</v>
      </c>
      <c r="G73" s="6">
        <v>0.87569444444444444</v>
      </c>
      <c r="I73" s="9">
        <f t="shared" si="3"/>
        <v>0.55833333333333335</v>
      </c>
      <c r="J73" s="9">
        <f t="shared" si="4"/>
        <v>0.49375000000000008</v>
      </c>
      <c r="K73" s="8">
        <f t="shared" si="5"/>
        <v>6.458333333333327E-2</v>
      </c>
    </row>
    <row r="74" spans="1:11" x14ac:dyDescent="0.25">
      <c r="A74" s="2">
        <v>70</v>
      </c>
      <c r="B74" s="21">
        <v>187</v>
      </c>
      <c r="C74" s="17" t="s">
        <v>76</v>
      </c>
      <c r="D74" s="6">
        <v>0.76666666666666661</v>
      </c>
      <c r="E74" s="6">
        <v>0.80763888888888891</v>
      </c>
      <c r="F74" s="1"/>
      <c r="G74" s="6">
        <v>0.87777777777777777</v>
      </c>
      <c r="I74" s="9">
        <f t="shared" si="3"/>
        <v>0.11111111111111116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0.66180555555555554</v>
      </c>
      <c r="F77" s="6">
        <v>0.72499999999999998</v>
      </c>
      <c r="G77" s="6">
        <v>0.87222222222222223</v>
      </c>
      <c r="I77" s="9">
        <f t="shared" si="3"/>
        <v>0.55555555555555558</v>
      </c>
      <c r="J77" s="9">
        <f t="shared" si="4"/>
        <v>0.49236111111111114</v>
      </c>
      <c r="K77" s="8">
        <f t="shared" si="5"/>
        <v>6.3194444444444442E-2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1"/>
      <c r="E80" s="1"/>
      <c r="F80" s="1"/>
      <c r="G80" s="1"/>
      <c r="I80" s="9" t="str">
        <f t="shared" si="3"/>
        <v>-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169" priority="16">
      <formula>$I5 &lt; TIME(12,0,0)</formula>
    </cfRule>
  </conditionalFormatting>
  <conditionalFormatting sqref="A5:A80 I61:J80">
    <cfRule type="cellIs" dxfId="168" priority="15" operator="between">
      <formula>0.291666666666667</formula>
      <formula>0.315972222222222</formula>
    </cfRule>
  </conditionalFormatting>
  <conditionalFormatting sqref="C5:C18 C26:C27">
    <cfRule type="expression" priority="17" stopIfTrue="1">
      <formula>COUNTIF($E$1:$E$91,C5)&gt;1</formula>
    </cfRule>
    <cfRule type="expression" priority="18" stopIfTrue="1">
      <formula>COUNTIF($E$1:$E$95,C5)&gt;1</formula>
    </cfRule>
  </conditionalFormatting>
  <conditionalFormatting sqref="C19:C25 C28:C29 C32 C34:C72">
    <cfRule type="expression" priority="19" stopIfTrue="1">
      <formula>COUNTIF($D$1:$D$82,C19)&gt;1</formula>
    </cfRule>
    <cfRule type="expression" priority="20" stopIfTrue="1">
      <formula>COUNTIF($D$1:$D$86,C19)&gt;1</formula>
    </cfRule>
  </conditionalFormatting>
  <conditionalFormatting sqref="C30:C31 C33">
    <cfRule type="expression" priority="21" stopIfTrue="1">
      <formula>COUNTIF($E$1:$E$90,C30)&gt;1</formula>
    </cfRule>
    <cfRule type="expression" priority="22" stopIfTrue="1">
      <formula>COUNTIF($E$1:$E$94,C30)&gt;1</formula>
    </cfRule>
  </conditionalFormatting>
  <conditionalFormatting sqref="C73:C80">
    <cfRule type="expression" priority="7" stopIfTrue="1">
      <formula>COUNTIF($D$7:$D$89,C73)&gt;1</formula>
    </cfRule>
    <cfRule type="expression" priority="8" stopIfTrue="1">
      <formula>COUNTIF($D$7:$D$93,C73)&gt;1</formula>
    </cfRule>
  </conditionalFormatting>
  <conditionalFormatting sqref="D10:G10">
    <cfRule type="cellIs" dxfId="167" priority="4" operator="between">
      <formula>0.333333333333333</formula>
      <formula>0.375</formula>
    </cfRule>
  </conditionalFormatting>
  <conditionalFormatting sqref="D56:G56">
    <cfRule type="cellIs" dxfId="166" priority="12" operator="between">
      <formula>0.875694444444444</formula>
      <formula>0.999305555555556</formula>
    </cfRule>
    <cfRule type="cellIs" dxfId="165" priority="14" operator="between">
      <formula>0.333333333333333</formula>
      <formula>0.375</formula>
    </cfRule>
  </conditionalFormatting>
  <conditionalFormatting sqref="D5:J9">
    <cfRule type="expression" dxfId="164" priority="6">
      <formula>$I5 &lt; TIME(12,0,0)</formula>
    </cfRule>
  </conditionalFormatting>
  <conditionalFormatting sqref="D5:J12">
    <cfRule type="cellIs" dxfId="163" priority="5" operator="between">
      <formula>0.291666666666667</formula>
      <formula>0.315972222222222</formula>
    </cfRule>
  </conditionalFormatting>
  <conditionalFormatting sqref="D13:J53">
    <cfRule type="cellIs" dxfId="162" priority="1" operator="between">
      <formula>0.291666666666667</formula>
      <formula>0.315972222222222</formula>
    </cfRule>
    <cfRule type="expression" dxfId="161" priority="2">
      <formula>$I13 &lt; TIME(12,0,0)</formula>
    </cfRule>
  </conditionalFormatting>
  <conditionalFormatting sqref="D54:J58">
    <cfRule type="cellIs" dxfId="160" priority="13" operator="between">
      <formula>0.291666666666667</formula>
      <formula>0.315972222222222</formula>
    </cfRule>
  </conditionalFormatting>
  <conditionalFormatting sqref="D59:J60">
    <cfRule type="cellIs" dxfId="159" priority="9" operator="between">
      <formula>0.291666666666667</formula>
      <formula>0.315972222222222</formula>
    </cfRule>
    <cfRule type="expression" dxfId="158" priority="10">
      <formula>$I59 &lt; TIME(12,0,0)</formula>
    </cfRule>
  </conditionalFormatting>
  <conditionalFormatting sqref="G10">
    <cfRule type="cellIs" dxfId="157" priority="3" operator="between">
      <formula>0.875694444444444</formula>
      <formula>0.978472222222222</formula>
    </cfRule>
  </conditionalFormatting>
  <conditionalFormatting sqref="G56">
    <cfRule type="cellIs" dxfId="156" priority="11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0379-F205-4295-8578-52A019A7BC36}">
  <dimension ref="A2:L80"/>
  <sheetViews>
    <sheetView workbookViewId="0">
      <pane ySplit="3" topLeftCell="A70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1" t="s">
        <v>0</v>
      </c>
      <c r="D3" s="3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0.31666666666666665</v>
      </c>
      <c r="E6" s="6"/>
      <c r="F6" s="6"/>
      <c r="G6" s="7">
        <v>0.81388888888888899</v>
      </c>
      <c r="I6" s="9">
        <f t="shared" ref="I6:I69" si="0">IF(AND(D6 &lt;&gt; "", G6 &lt;&gt; ""), G6 - D6, "-")</f>
        <v>0.49722222222222234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0.32013888888888892</v>
      </c>
      <c r="E7" s="6">
        <v>0.54999999999999993</v>
      </c>
      <c r="F7" s="6">
        <v>0.62013888888888891</v>
      </c>
      <c r="G7" s="7">
        <v>0.87708333333333333</v>
      </c>
      <c r="I7" s="9">
        <f t="shared" si="0"/>
        <v>0.55694444444444446</v>
      </c>
      <c r="J7" s="9">
        <f t="shared" si="1"/>
        <v>0.48680555555555544</v>
      </c>
      <c r="K7" s="8">
        <f t="shared" si="2"/>
        <v>7.0138888888889028E-2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0.4680555555555555</v>
      </c>
      <c r="F10" s="6">
        <v>0.51597222222222217</v>
      </c>
      <c r="G10" s="7">
        <v>0.87152777777777779</v>
      </c>
      <c r="I10" s="9">
        <f t="shared" si="0"/>
        <v>0.55972222222222223</v>
      </c>
      <c r="J10" s="9">
        <f t="shared" si="1"/>
        <v>0.51180555555555562</v>
      </c>
      <c r="K10" s="8">
        <f t="shared" si="2"/>
        <v>4.7916666666666607E-2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0.33819444444444446</v>
      </c>
      <c r="E11" s="6">
        <v>0.51736111111111105</v>
      </c>
      <c r="F11" s="6">
        <v>0.58402777777777781</v>
      </c>
      <c r="G11" s="7">
        <v>0.85138888888888886</v>
      </c>
      <c r="I11" s="9">
        <f t="shared" si="0"/>
        <v>0.5131944444444444</v>
      </c>
      <c r="J11" s="9">
        <f t="shared" si="1"/>
        <v>0.44652777777777763</v>
      </c>
      <c r="K11" s="8">
        <f t="shared" si="2"/>
        <v>6.6666666666666763E-2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0.3125</v>
      </c>
      <c r="E12" s="6">
        <v>0.55347222222222225</v>
      </c>
      <c r="F12" s="6">
        <v>0.60902777777777783</v>
      </c>
      <c r="G12" s="7">
        <v>0.87986111111111109</v>
      </c>
      <c r="I12" s="9">
        <f t="shared" si="0"/>
        <v>0.56736111111111109</v>
      </c>
      <c r="J12" s="9">
        <f t="shared" si="1"/>
        <v>0.51180555555555551</v>
      </c>
      <c r="K12" s="8">
        <f t="shared" si="2"/>
        <v>5.555555555555558E-2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0.36944444444444446</v>
      </c>
      <c r="E13" s="6"/>
      <c r="F13" s="6"/>
      <c r="G13" s="7">
        <v>0.69861111111111107</v>
      </c>
      <c r="I13" s="9">
        <f t="shared" si="0"/>
        <v>0.32916666666666661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0.31458333333333333</v>
      </c>
      <c r="E14" s="6"/>
      <c r="F14" s="6"/>
      <c r="G14" s="7">
        <v>0.66249999999999998</v>
      </c>
      <c r="I14" s="9">
        <f t="shared" si="0"/>
        <v>0.34791666666666665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0.32500000000000001</v>
      </c>
      <c r="E15" s="6">
        <v>0.55763888888888891</v>
      </c>
      <c r="F15" s="6"/>
      <c r="G15" s="7">
        <v>0.85625000000000007</v>
      </c>
      <c r="I15" s="9">
        <f t="shared" si="0"/>
        <v>0.53125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0.31180555555555556</v>
      </c>
      <c r="E16" s="6">
        <v>0.49652777777777773</v>
      </c>
      <c r="F16" s="6">
        <v>0.60486111111111118</v>
      </c>
      <c r="G16" s="7">
        <v>0.88888888888888884</v>
      </c>
      <c r="I16" s="9">
        <f t="shared" si="0"/>
        <v>0.57708333333333328</v>
      </c>
      <c r="J16" s="9">
        <f t="shared" si="1"/>
        <v>0.46874999999999983</v>
      </c>
      <c r="K16" s="8">
        <f t="shared" si="2"/>
        <v>0.10833333333333345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0.31180555555555556</v>
      </c>
      <c r="E17" s="6">
        <v>0.65208333333333335</v>
      </c>
      <c r="F17" s="6">
        <v>0.72083333333333333</v>
      </c>
      <c r="G17" s="7">
        <v>0.87291666666666667</v>
      </c>
      <c r="I17" s="9">
        <f t="shared" si="0"/>
        <v>0.56111111111111112</v>
      </c>
      <c r="J17" s="9">
        <f t="shared" si="1"/>
        <v>0.49236111111111114</v>
      </c>
      <c r="K17" s="8">
        <f t="shared" si="2"/>
        <v>6.8749999999999978E-2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>
        <v>0.31388888888888888</v>
      </c>
      <c r="E19" s="6"/>
      <c r="F19" s="6"/>
      <c r="G19" s="7">
        <v>0.7104166666666667</v>
      </c>
      <c r="I19" s="9">
        <f t="shared" si="0"/>
        <v>0.39652777777777781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0.31527777777777777</v>
      </c>
      <c r="E20" s="6">
        <v>0.62847222222222221</v>
      </c>
      <c r="F20" s="6">
        <v>0.6875</v>
      </c>
      <c r="G20" s="7">
        <v>0.87638888888888899</v>
      </c>
      <c r="I20" s="9">
        <f t="shared" si="0"/>
        <v>0.56111111111111123</v>
      </c>
      <c r="J20" s="9">
        <f t="shared" si="1"/>
        <v>0.50208333333333344</v>
      </c>
      <c r="K20" s="8">
        <f t="shared" si="2"/>
        <v>5.902777777777779E-2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0.31041666666666667</v>
      </c>
      <c r="E21" s="6">
        <v>0.53680555555555554</v>
      </c>
      <c r="F21" s="6">
        <v>0.60138888888888886</v>
      </c>
      <c r="G21" s="7">
        <v>0.87430555555555556</v>
      </c>
      <c r="I21" s="9">
        <f t="shared" si="0"/>
        <v>0.56388888888888888</v>
      </c>
      <c r="J21" s="9">
        <f t="shared" si="1"/>
        <v>0.49930555555555556</v>
      </c>
      <c r="K21" s="8">
        <f t="shared" si="2"/>
        <v>6.4583333333333326E-2</v>
      </c>
    </row>
    <row r="22" spans="1:12" x14ac:dyDescent="0.25">
      <c r="A22" s="2">
        <v>18</v>
      </c>
      <c r="B22" s="20">
        <v>30</v>
      </c>
      <c r="C22" s="5" t="s">
        <v>30</v>
      </c>
      <c r="D22" s="6">
        <v>0.62569444444444444</v>
      </c>
      <c r="E22" s="6"/>
      <c r="F22" s="6"/>
      <c r="G22" s="7">
        <v>0.88750000000000007</v>
      </c>
      <c r="I22" s="9">
        <f t="shared" si="0"/>
        <v>0.26180555555555562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0.31597222222222221</v>
      </c>
      <c r="E23" s="6"/>
      <c r="F23" s="6"/>
      <c r="G23" s="7">
        <v>0.81458333333333333</v>
      </c>
      <c r="I23" s="9">
        <f t="shared" si="0"/>
        <v>0.49861111111111112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1">
        <v>32</v>
      </c>
      <c r="C24" s="19" t="s">
        <v>17</v>
      </c>
      <c r="D24" s="6">
        <v>0.3611111111111111</v>
      </c>
      <c r="E24" s="6">
        <v>0.5493055555555556</v>
      </c>
      <c r="F24" s="6">
        <v>0.60902777777777783</v>
      </c>
      <c r="G24" s="7">
        <v>0.88750000000000007</v>
      </c>
      <c r="I24" s="9">
        <f t="shared" si="0"/>
        <v>0.52638888888888902</v>
      </c>
      <c r="J24" s="9">
        <f t="shared" si="1"/>
        <v>0.46666666666666673</v>
      </c>
      <c r="K24" s="8">
        <f t="shared" si="2"/>
        <v>5.9722222222222288E-2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26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0.34236111111111112</v>
      </c>
      <c r="E27" s="6"/>
      <c r="F27" s="6"/>
      <c r="G27" s="7">
        <v>0.87291666666666667</v>
      </c>
      <c r="I27" s="9">
        <f t="shared" si="0"/>
        <v>0.53055555555555556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0.3125</v>
      </c>
      <c r="E28" s="6"/>
      <c r="F28" s="6"/>
      <c r="G28" s="7">
        <v>0.94236111111111109</v>
      </c>
      <c r="I28" s="9">
        <f t="shared" si="0"/>
        <v>0.62986111111111109</v>
      </c>
      <c r="J28" s="9" t="str">
        <f t="shared" si="1"/>
        <v>-</v>
      </c>
      <c r="K28" s="8" t="e">
        <f t="shared" si="2"/>
        <v>#VALUE!</v>
      </c>
      <c r="L28" s="8">
        <v>2.4305555555555556E-2</v>
      </c>
    </row>
    <row r="29" spans="1:12" x14ac:dyDescent="0.25">
      <c r="A29" s="2">
        <v>25</v>
      </c>
      <c r="B29" s="20">
        <v>40</v>
      </c>
      <c r="C29" s="5" t="s">
        <v>16</v>
      </c>
      <c r="D29" s="6">
        <v>0.51736111111111105</v>
      </c>
      <c r="E29" s="6"/>
      <c r="F29" s="6"/>
      <c r="G29" s="7">
        <v>0.91319444444444453</v>
      </c>
      <c r="I29" s="9">
        <f t="shared" si="0"/>
        <v>0.39583333333333348</v>
      </c>
      <c r="J29" s="9" t="str">
        <f t="shared" si="1"/>
        <v>-</v>
      </c>
      <c r="K29" s="8" t="e">
        <f t="shared" si="2"/>
        <v>#VALUE!</v>
      </c>
      <c r="L29" s="8">
        <v>4.1666666666666664E-2</v>
      </c>
    </row>
    <row r="30" spans="1:12" x14ac:dyDescent="0.25">
      <c r="A30" s="2">
        <v>26</v>
      </c>
      <c r="B30" s="21">
        <v>44</v>
      </c>
      <c r="C30" s="19" t="s">
        <v>20</v>
      </c>
      <c r="D30" s="6">
        <v>0.3125</v>
      </c>
      <c r="E30" s="6">
        <v>0.53472222222222221</v>
      </c>
      <c r="F30" s="6">
        <v>0.59791666666666665</v>
      </c>
      <c r="G30" s="7">
        <v>0.875</v>
      </c>
      <c r="I30" s="9">
        <f t="shared" si="0"/>
        <v>0.5625</v>
      </c>
      <c r="J30" s="9">
        <f t="shared" si="1"/>
        <v>0.49930555555555556</v>
      </c>
      <c r="K30" s="8">
        <f t="shared" si="2"/>
        <v>6.3194444444444442E-2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0.3125</v>
      </c>
      <c r="E31" s="6">
        <v>0.61875000000000002</v>
      </c>
      <c r="F31" s="6"/>
      <c r="G31" s="7">
        <v>0.87083333333333324</v>
      </c>
      <c r="I31" s="9">
        <f t="shared" si="0"/>
        <v>0.55833333333333324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0.30902777777777779</v>
      </c>
      <c r="E32" s="6">
        <v>0.60555555555555551</v>
      </c>
      <c r="F32" s="6">
        <v>0.6743055555555556</v>
      </c>
      <c r="G32" s="7">
        <v>0.87152777777777779</v>
      </c>
      <c r="I32" s="9">
        <f t="shared" si="0"/>
        <v>0.5625</v>
      </c>
      <c r="J32" s="9">
        <f t="shared" si="1"/>
        <v>0.49374999999999991</v>
      </c>
      <c r="K32" s="8">
        <f t="shared" si="2"/>
        <v>6.8750000000000089E-2</v>
      </c>
    </row>
    <row r="33" spans="1:11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69</v>
      </c>
      <c r="C34" s="17" t="s">
        <v>55</v>
      </c>
      <c r="D34" s="6">
        <v>0.40069444444444446</v>
      </c>
      <c r="E34" s="6"/>
      <c r="F34" s="6"/>
      <c r="G34" s="7">
        <v>0.70138888888888884</v>
      </c>
      <c r="I34" s="9">
        <f t="shared" si="0"/>
        <v>0.30069444444444438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72</v>
      </c>
      <c r="C35" s="17" t="s">
        <v>45</v>
      </c>
      <c r="D35" s="6">
        <v>0.4993055555555555</v>
      </c>
      <c r="E35" s="6"/>
      <c r="F35" s="6"/>
      <c r="G35" s="7">
        <v>0.76527777777777783</v>
      </c>
      <c r="I35" s="9">
        <f t="shared" si="0"/>
        <v>0.26597222222222233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1">
        <v>75</v>
      </c>
      <c r="C36" s="19" t="s">
        <v>34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0">
        <v>76</v>
      </c>
      <c r="C37" s="19" t="s">
        <v>29</v>
      </c>
      <c r="D37" s="6">
        <v>0.31180555555555556</v>
      </c>
      <c r="E37" s="6">
        <v>0.61458333333333337</v>
      </c>
      <c r="F37" s="6">
        <v>0.67847222222222225</v>
      </c>
      <c r="G37" s="7">
        <v>0.87916666666666676</v>
      </c>
      <c r="I37" s="9">
        <f t="shared" si="0"/>
        <v>0.5673611111111112</v>
      </c>
      <c r="J37" s="9">
        <f t="shared" si="1"/>
        <v>0.50347222222222232</v>
      </c>
      <c r="K37" s="8">
        <f t="shared" si="2"/>
        <v>6.3888888888888884E-2</v>
      </c>
    </row>
    <row r="38" spans="1:11" x14ac:dyDescent="0.25">
      <c r="A38" s="2">
        <v>34</v>
      </c>
      <c r="B38" s="20">
        <v>77</v>
      </c>
      <c r="C38" s="17" t="s">
        <v>42</v>
      </c>
      <c r="D38" s="6">
        <v>0.56111111111111112</v>
      </c>
      <c r="E38" s="6"/>
      <c r="F38" s="6"/>
      <c r="G38" s="7">
        <v>0.9194444444444444</v>
      </c>
      <c r="I38" s="9">
        <f t="shared" si="0"/>
        <v>0.35833333333333328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1">
        <v>83</v>
      </c>
      <c r="C39" s="19" t="s">
        <v>31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86</v>
      </c>
      <c r="C40" s="17" t="s">
        <v>85</v>
      </c>
      <c r="D40" s="6">
        <v>0.57361111111111118</v>
      </c>
      <c r="E40" s="6">
        <v>0.70000000000000007</v>
      </c>
      <c r="F40" s="6">
        <v>0.72638888888888886</v>
      </c>
      <c r="G40" s="7">
        <v>0.91388888888888886</v>
      </c>
      <c r="I40" s="9">
        <f t="shared" si="0"/>
        <v>0.34027777777777768</v>
      </c>
      <c r="J40" s="9">
        <f t="shared" si="1"/>
        <v>0.31388888888888888</v>
      </c>
      <c r="K40" s="8">
        <f t="shared" si="2"/>
        <v>2.6388888888888795E-2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0.31666666666666665</v>
      </c>
      <c r="E41" s="6">
        <v>0.41180555555555554</v>
      </c>
      <c r="F41" s="6">
        <v>0.48194444444444445</v>
      </c>
      <c r="G41" s="7">
        <v>0.86944444444444446</v>
      </c>
      <c r="I41" s="9">
        <f t="shared" si="0"/>
        <v>0.55277777777777781</v>
      </c>
      <c r="J41" s="9">
        <f t="shared" si="1"/>
        <v>0.4826388888888889</v>
      </c>
      <c r="K41" s="8">
        <f t="shared" si="2"/>
        <v>7.0138888888888917E-2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0.31597222222222221</v>
      </c>
      <c r="E42" s="6">
        <v>0.65486111111111112</v>
      </c>
      <c r="F42" s="6"/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0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0">
        <v>99</v>
      </c>
      <c r="C44" s="5" t="s">
        <v>13</v>
      </c>
      <c r="D44" s="6">
        <v>0.32500000000000001</v>
      </c>
      <c r="E44" s="6">
        <v>0.57152777777777775</v>
      </c>
      <c r="F44" s="6">
        <v>0.72986111111111107</v>
      </c>
      <c r="G44" s="7">
        <v>0.88263888888888886</v>
      </c>
      <c r="I44" s="9">
        <f t="shared" si="0"/>
        <v>0.5576388888888888</v>
      </c>
      <c r="J44" s="9">
        <f t="shared" si="1"/>
        <v>0.39930555555555552</v>
      </c>
      <c r="K44" s="8">
        <f t="shared" si="2"/>
        <v>0.15833333333333327</v>
      </c>
    </row>
    <row r="45" spans="1:11" x14ac:dyDescent="0.25">
      <c r="A45" s="2">
        <v>41</v>
      </c>
      <c r="B45" s="21">
        <v>115</v>
      </c>
      <c r="C45" s="17" t="s">
        <v>38</v>
      </c>
      <c r="D45" s="6">
        <v>0.4375</v>
      </c>
      <c r="E45" s="1"/>
      <c r="F45" s="1"/>
      <c r="G45" s="7">
        <v>0.68055555555555547</v>
      </c>
      <c r="I45" s="9">
        <f t="shared" si="0"/>
        <v>0.24305555555555547</v>
      </c>
      <c r="J45" s="9" t="str">
        <f t="shared" si="1"/>
        <v>-</v>
      </c>
      <c r="K45" s="8" t="e">
        <f t="shared" si="2"/>
        <v>#VALUE!</v>
      </c>
    </row>
    <row r="46" spans="1:11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>
        <v>0.31319444444444444</v>
      </c>
      <c r="E47" s="6"/>
      <c r="F47" s="6"/>
      <c r="G47" s="7">
        <v>0.68194444444444446</v>
      </c>
      <c r="I47" s="9">
        <f t="shared" si="0"/>
        <v>0.36875000000000002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0.31319444444444444</v>
      </c>
      <c r="E49" s="6"/>
      <c r="F49" s="6"/>
      <c r="G49" s="7">
        <v>0.81458333333333333</v>
      </c>
      <c r="I49" s="9">
        <f t="shared" si="0"/>
        <v>0.50138888888888888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0.56458333333333333</v>
      </c>
      <c r="E51" s="6"/>
      <c r="F51" s="6"/>
      <c r="G51" s="7">
        <v>0.91736111111111107</v>
      </c>
      <c r="I51" s="9">
        <f t="shared" si="0"/>
        <v>0.35277777777777775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0.32430555555555557</v>
      </c>
      <c r="E52" s="6">
        <v>0.59930555555555554</v>
      </c>
      <c r="F52" s="6">
        <v>0.69027777777777777</v>
      </c>
      <c r="G52" s="7">
        <v>0.8881944444444444</v>
      </c>
      <c r="I52" s="9">
        <f t="shared" si="0"/>
        <v>0.56388888888888888</v>
      </c>
      <c r="J52" s="9">
        <f t="shared" si="1"/>
        <v>0.4729166666666666</v>
      </c>
      <c r="K52" s="8">
        <f t="shared" si="2"/>
        <v>9.0972222222222288E-2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0.31597222222222221</v>
      </c>
      <c r="E54" s="6">
        <v>0.65069444444444446</v>
      </c>
      <c r="F54" s="6">
        <v>0.71527777777777779</v>
      </c>
      <c r="G54" s="7">
        <v>0.87222222222222223</v>
      </c>
      <c r="I54" s="9">
        <f t="shared" si="0"/>
        <v>0.55625000000000002</v>
      </c>
      <c r="J54" s="9">
        <f t="shared" si="1"/>
        <v>0.4916666666666667</v>
      </c>
      <c r="K54" s="8">
        <f t="shared" si="2"/>
        <v>6.4583333333333326E-2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0.31736111111111115</v>
      </c>
      <c r="E56" s="6">
        <v>0.55138888888888882</v>
      </c>
      <c r="F56" s="6">
        <v>0.62013888888888891</v>
      </c>
      <c r="G56" s="7">
        <v>0.87083333333333324</v>
      </c>
      <c r="I56" s="9">
        <f t="shared" si="0"/>
        <v>0.55347222222222214</v>
      </c>
      <c r="J56" s="9">
        <f t="shared" si="1"/>
        <v>0.484722222222222</v>
      </c>
      <c r="K56" s="8">
        <f t="shared" si="2"/>
        <v>6.8750000000000144E-2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0.31041666666666667</v>
      </c>
      <c r="E57" s="6">
        <v>0.61388888888888882</v>
      </c>
      <c r="F57" s="6">
        <v>0.67986111111111114</v>
      </c>
      <c r="G57" s="7">
        <v>0.86875000000000002</v>
      </c>
      <c r="I57" s="9">
        <f t="shared" si="0"/>
        <v>0.55833333333333335</v>
      </c>
      <c r="J57" s="9">
        <f t="shared" si="1"/>
        <v>0.49236111111111103</v>
      </c>
      <c r="K57" s="8">
        <f t="shared" si="2"/>
        <v>6.5972222222222321E-2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0.31388888888888888</v>
      </c>
      <c r="E58" s="6">
        <v>0.52430555555555558</v>
      </c>
      <c r="F58" s="6">
        <v>0.58888888888888891</v>
      </c>
      <c r="G58" s="7">
        <v>0.88611111111111107</v>
      </c>
      <c r="I58" s="9">
        <f t="shared" si="0"/>
        <v>0.57222222222222219</v>
      </c>
      <c r="J58" s="9">
        <f t="shared" si="1"/>
        <v>0.50763888888888886</v>
      </c>
      <c r="K58" s="8">
        <f t="shared" si="2"/>
        <v>6.4583333333333326E-2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0.31527777777777777</v>
      </c>
      <c r="E61" s="6">
        <v>0.6069444444444444</v>
      </c>
      <c r="F61" s="6">
        <v>0.66736111111111107</v>
      </c>
      <c r="G61" s="7">
        <v>0.88750000000000007</v>
      </c>
      <c r="I61" s="9">
        <f t="shared" si="0"/>
        <v>0.5722222222222223</v>
      </c>
      <c r="J61" s="9">
        <f t="shared" si="1"/>
        <v>0.51180555555555562</v>
      </c>
      <c r="K61" s="8">
        <f t="shared" si="2"/>
        <v>6.0416666666666674E-2</v>
      </c>
    </row>
    <row r="62" spans="1:11" x14ac:dyDescent="0.25">
      <c r="A62" s="2">
        <v>58</v>
      </c>
      <c r="B62" s="20">
        <v>165</v>
      </c>
      <c r="C62" s="17" t="s">
        <v>56</v>
      </c>
      <c r="D62" s="6">
        <v>0.32500000000000001</v>
      </c>
      <c r="E62" s="6"/>
      <c r="F62" s="6"/>
      <c r="G62" s="7">
        <v>0.66805555555555562</v>
      </c>
      <c r="I62" s="9">
        <f t="shared" si="0"/>
        <v>0.34305555555555561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0.31597222222222221</v>
      </c>
      <c r="E63" s="6">
        <v>0.41597222222222219</v>
      </c>
      <c r="F63" s="6">
        <v>0.47986111111111113</v>
      </c>
      <c r="G63" s="7">
        <v>0.87291666666666667</v>
      </c>
      <c r="I63" s="9">
        <f t="shared" si="0"/>
        <v>0.55694444444444446</v>
      </c>
      <c r="J63" s="9">
        <f t="shared" si="1"/>
        <v>0.49305555555555552</v>
      </c>
      <c r="K63" s="8">
        <f t="shared" si="2"/>
        <v>6.3888888888888939E-2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1"/>
      <c r="F65" s="1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0.31944444444444448</v>
      </c>
      <c r="E66" s="1"/>
      <c r="F66" s="1"/>
      <c r="G66" s="6">
        <v>0.67638888888888893</v>
      </c>
      <c r="I66" s="9">
        <f t="shared" si="0"/>
        <v>0.35694444444444445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0.56319444444444444</v>
      </c>
      <c r="E67" s="6"/>
      <c r="F67" s="6"/>
      <c r="G67" s="6">
        <v>0.91805555555555562</v>
      </c>
      <c r="I67" s="9">
        <f t="shared" si="0"/>
        <v>0.35486111111111118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>
        <v>0.52222222222222225</v>
      </c>
      <c r="E68" s="6">
        <v>0.68125000000000002</v>
      </c>
      <c r="F68" s="6">
        <v>0.70347222222222217</v>
      </c>
      <c r="G68" s="6">
        <v>0.90555555555555556</v>
      </c>
      <c r="I68" s="9">
        <f t="shared" si="0"/>
        <v>0.3833333333333333</v>
      </c>
      <c r="J68" s="9">
        <f t="shared" si="1"/>
        <v>0.36111111111111116</v>
      </c>
      <c r="K68" s="8">
        <f t="shared" si="2"/>
        <v>2.2222222222222143E-2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0.5229166666666667</v>
      </c>
      <c r="E69" s="6">
        <v>0.63055555555555554</v>
      </c>
      <c r="F69" s="6">
        <v>0.65069444444444446</v>
      </c>
      <c r="G69" s="6">
        <v>0.87361111111111101</v>
      </c>
      <c r="I69" s="9">
        <f t="shared" si="0"/>
        <v>0.35069444444444431</v>
      </c>
      <c r="J69" s="9">
        <f t="shared" si="1"/>
        <v>0.33055555555555538</v>
      </c>
      <c r="K69" s="8">
        <f t="shared" si="2"/>
        <v>2.0138888888888928E-2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0.31944444444444448</v>
      </c>
      <c r="E70" s="6">
        <v>0.54722222222222217</v>
      </c>
      <c r="F70" s="6">
        <v>0.56805555555555554</v>
      </c>
      <c r="G70" s="6">
        <v>0.68125000000000002</v>
      </c>
      <c r="I70" s="9">
        <f t="shared" ref="I70:I80" si="3">IF(AND(D70 &lt;&gt; "", G70 &lt;&gt; ""), G70 - D70, "-")</f>
        <v>0.36180555555555555</v>
      </c>
      <c r="J70" s="9">
        <f t="shared" ref="J70:J80" si="4">IF(AND(D70 &lt;&gt; "", E70 &lt;&gt; "", F70 &lt;&gt; "", G70 &lt;&gt; ""), (E70 - D70)  + (G70 - F70), "-")</f>
        <v>0.34097222222222218</v>
      </c>
      <c r="K70" s="8">
        <f t="shared" ref="K70:K80" si="5">SUM(I70-J70)</f>
        <v>2.083333333333337E-2</v>
      </c>
    </row>
    <row r="71" spans="1:11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0.52152777777777781</v>
      </c>
      <c r="E72" s="35">
        <v>0.68125000000000002</v>
      </c>
      <c r="F72" s="35">
        <v>0.70347222222222217</v>
      </c>
      <c r="G72" s="35">
        <v>0.88263888888888886</v>
      </c>
      <c r="I72" s="9">
        <f t="shared" si="3"/>
        <v>0.36111111111111105</v>
      </c>
      <c r="J72" s="9">
        <f t="shared" si="4"/>
        <v>0.33888888888888891</v>
      </c>
      <c r="K72" s="8">
        <f t="shared" si="5"/>
        <v>2.2222222222222143E-2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0.31597222222222221</v>
      </c>
      <c r="E73" s="6">
        <v>0.65486111111111112</v>
      </c>
      <c r="F73" s="6">
        <v>0.72083333333333333</v>
      </c>
      <c r="G73" s="6">
        <v>0.87430555555555556</v>
      </c>
      <c r="I73" s="9">
        <f t="shared" si="3"/>
        <v>0.55833333333333335</v>
      </c>
      <c r="J73" s="9">
        <f t="shared" si="4"/>
        <v>0.49236111111111114</v>
      </c>
      <c r="K73" s="8">
        <f t="shared" si="5"/>
        <v>6.597222222222221E-2</v>
      </c>
    </row>
    <row r="74" spans="1:11" x14ac:dyDescent="0.25">
      <c r="A74" s="2">
        <v>70</v>
      </c>
      <c r="B74" s="21">
        <v>187</v>
      </c>
      <c r="C74" s="17" t="s">
        <v>76</v>
      </c>
      <c r="D74" s="6">
        <v>0.51250000000000007</v>
      </c>
      <c r="E74" s="6"/>
      <c r="F74" s="1"/>
      <c r="G74" s="6">
        <v>0.88611111111111107</v>
      </c>
      <c r="I74" s="9">
        <f t="shared" si="3"/>
        <v>0.37361111111111101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0.4826388888888889</v>
      </c>
      <c r="F77" s="6">
        <v>0.54861111111111105</v>
      </c>
      <c r="G77" s="6">
        <v>0.87083333333333324</v>
      </c>
      <c r="I77" s="9">
        <f t="shared" si="3"/>
        <v>0.55416666666666659</v>
      </c>
      <c r="J77" s="9">
        <f t="shared" si="4"/>
        <v>0.48819444444444443</v>
      </c>
      <c r="K77" s="8">
        <f t="shared" si="5"/>
        <v>6.5972222222222154E-2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6">
        <v>0.31666666666666665</v>
      </c>
      <c r="E80" s="1"/>
      <c r="F80" s="1"/>
      <c r="G80" s="6">
        <v>0.67499999999999993</v>
      </c>
      <c r="I80" s="9">
        <f t="shared" si="3"/>
        <v>0.35833333333333328</v>
      </c>
      <c r="J80" s="9" t="str">
        <f t="shared" si="4"/>
        <v>-</v>
      </c>
      <c r="K80" s="8" t="e">
        <f t="shared" si="5"/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155" priority="18">
      <formula>$I5 &lt; TIME(12,0,0)</formula>
    </cfRule>
  </conditionalFormatting>
  <conditionalFormatting sqref="A5:A80 I61:J80">
    <cfRule type="cellIs" dxfId="154" priority="17" operator="between">
      <formula>0.291666666666667</formula>
      <formula>0.315972222222222</formula>
    </cfRule>
  </conditionalFormatting>
  <conditionalFormatting sqref="C5:C18 C26:C27">
    <cfRule type="expression" priority="19" stopIfTrue="1">
      <formula>COUNTIF($E$1:$E$91,C5)&gt;1</formula>
    </cfRule>
    <cfRule type="expression" priority="20" stopIfTrue="1">
      <formula>COUNTIF($E$1:$E$95,C5)&gt;1</formula>
    </cfRule>
  </conditionalFormatting>
  <conditionalFormatting sqref="C19:C25 C28:C29 C32 C34:C72">
    <cfRule type="expression" priority="21" stopIfTrue="1">
      <formula>COUNTIF($D$1:$D$82,C19)&gt;1</formula>
    </cfRule>
    <cfRule type="expression" priority="22" stopIfTrue="1">
      <formula>COUNTIF($D$1:$D$86,C19)&gt;1</formula>
    </cfRule>
  </conditionalFormatting>
  <conditionalFormatting sqref="C30:C31 C33">
    <cfRule type="expression" priority="23" stopIfTrue="1">
      <formula>COUNTIF($E$1:$E$90,C30)&gt;1</formula>
    </cfRule>
    <cfRule type="expression" priority="24" stopIfTrue="1">
      <formula>COUNTIF($E$1:$E$94,C30)&gt;1</formula>
    </cfRule>
  </conditionalFormatting>
  <conditionalFormatting sqref="C73:C80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153" priority="6" operator="between">
      <formula>0.333333333333333</formula>
      <formula>0.375</formula>
    </cfRule>
  </conditionalFormatting>
  <conditionalFormatting sqref="D56:G56">
    <cfRule type="cellIs" dxfId="152" priority="14" operator="between">
      <formula>0.875694444444444</formula>
      <formula>0.999305555555556</formula>
    </cfRule>
    <cfRule type="cellIs" dxfId="151" priority="16" operator="between">
      <formula>0.333333333333333</formula>
      <formula>0.375</formula>
    </cfRule>
  </conditionalFormatting>
  <conditionalFormatting sqref="D5:J9">
    <cfRule type="expression" dxfId="150" priority="8">
      <formula>$I5 &lt; TIME(12,0,0)</formula>
    </cfRule>
  </conditionalFormatting>
  <conditionalFormatting sqref="D5:J12">
    <cfRule type="cellIs" dxfId="149" priority="7" operator="between">
      <formula>0.291666666666667</formula>
      <formula>0.315972222222222</formula>
    </cfRule>
  </conditionalFormatting>
  <conditionalFormatting sqref="D13:J53">
    <cfRule type="cellIs" dxfId="148" priority="1" operator="between">
      <formula>0.291666666666667</formula>
      <formula>0.315972222222222</formula>
    </cfRule>
    <cfRule type="expression" dxfId="147" priority="2">
      <formula>$I13 &lt; TIME(12,0,0)</formula>
    </cfRule>
  </conditionalFormatting>
  <conditionalFormatting sqref="D54:J58">
    <cfRule type="cellIs" dxfId="146" priority="15" operator="between">
      <formula>0.291666666666667</formula>
      <formula>0.315972222222222</formula>
    </cfRule>
  </conditionalFormatting>
  <conditionalFormatting sqref="D59:J60">
    <cfRule type="cellIs" dxfId="145" priority="11" operator="between">
      <formula>0.291666666666667</formula>
      <formula>0.315972222222222</formula>
    </cfRule>
    <cfRule type="expression" dxfId="144" priority="12">
      <formula>$I59 &lt; TIME(12,0,0)</formula>
    </cfRule>
  </conditionalFormatting>
  <conditionalFormatting sqref="G10">
    <cfRule type="cellIs" dxfId="143" priority="5" operator="between">
      <formula>0.875694444444444</formula>
      <formula>0.978472222222222</formula>
    </cfRule>
  </conditionalFormatting>
  <conditionalFormatting sqref="G56">
    <cfRule type="cellIs" dxfId="142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A72-BCE9-430E-A49E-0E989A9FD6C5}">
  <dimension ref="A2:L80"/>
  <sheetViews>
    <sheetView workbookViewId="0">
      <pane ySplit="3" topLeftCell="A31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0" t="s">
        <v>0</v>
      </c>
      <c r="D3" s="3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0.31666666666666665</v>
      </c>
      <c r="E6" s="6"/>
      <c r="F6" s="6"/>
      <c r="G6" s="7">
        <v>0.81527777777777777</v>
      </c>
      <c r="I6" s="9">
        <f t="shared" ref="I6:I69" si="0">IF(AND(D6 &lt;&gt; "", G6 &lt;&gt; ""), G6 - D6, "-")</f>
        <v>0.49861111111111112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0.31597222222222221</v>
      </c>
      <c r="E7" s="6"/>
      <c r="F7" s="6"/>
      <c r="G7" s="7">
        <v>0.57222222222222219</v>
      </c>
      <c r="I7" s="9">
        <f t="shared" si="0"/>
        <v>0.25624999999999998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0.59097222222222223</v>
      </c>
      <c r="F10" s="6">
        <v>0.64166666666666672</v>
      </c>
      <c r="G10" s="7">
        <v>0.87361111111111101</v>
      </c>
      <c r="I10" s="9">
        <f t="shared" si="0"/>
        <v>0.56180555555555545</v>
      </c>
      <c r="J10" s="9">
        <f t="shared" si="1"/>
        <v>0.51111111111111096</v>
      </c>
      <c r="K10" s="8">
        <f t="shared" si="2"/>
        <v>5.0694444444444486E-2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0.33611111111111108</v>
      </c>
      <c r="E11" s="6">
        <v>0.56805555555555554</v>
      </c>
      <c r="F11" s="6">
        <v>0.63750000000000007</v>
      </c>
      <c r="G11" s="7">
        <v>0.87152777777777779</v>
      </c>
      <c r="I11" s="9">
        <f t="shared" si="0"/>
        <v>0.53541666666666665</v>
      </c>
      <c r="J11" s="9">
        <f t="shared" si="1"/>
        <v>0.46597222222222218</v>
      </c>
      <c r="K11" s="8">
        <f t="shared" si="2"/>
        <v>6.9444444444444475E-2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0.31597222222222221</v>
      </c>
      <c r="E12" s="6">
        <v>0.54375000000000007</v>
      </c>
      <c r="F12" s="6">
        <v>0.60416666666666663</v>
      </c>
      <c r="G12" s="7">
        <v>0.87083333333333324</v>
      </c>
      <c r="I12" s="9">
        <f t="shared" si="0"/>
        <v>0.55486111111111103</v>
      </c>
      <c r="J12" s="9">
        <f t="shared" si="1"/>
        <v>0.49444444444444446</v>
      </c>
      <c r="K12" s="8">
        <f t="shared" si="2"/>
        <v>6.0416666666666563E-2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0.34027777777777773</v>
      </c>
      <c r="E13" s="6"/>
      <c r="F13" s="6"/>
      <c r="G13" s="7">
        <v>0.67361111111111116</v>
      </c>
      <c r="I13" s="9">
        <f t="shared" si="0"/>
        <v>0.33333333333333343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0.31666666666666665</v>
      </c>
      <c r="E14" s="6">
        <v>0.4368055555555555</v>
      </c>
      <c r="F14" s="6">
        <v>0.45902777777777781</v>
      </c>
      <c r="G14" s="7">
        <v>0.66527777777777775</v>
      </c>
      <c r="I14" s="9">
        <f t="shared" si="0"/>
        <v>0.34861111111111109</v>
      </c>
      <c r="J14" s="9">
        <f t="shared" si="1"/>
        <v>0.32638888888888878</v>
      </c>
      <c r="K14" s="8">
        <f t="shared" si="2"/>
        <v>2.222222222222231E-2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0.3430555555555555</v>
      </c>
      <c r="E15" s="6">
        <v>0.47986111111111113</v>
      </c>
      <c r="F15" s="6"/>
      <c r="G15" s="7">
        <v>0.83263888888888893</v>
      </c>
      <c r="I15" s="9">
        <f t="shared" si="0"/>
        <v>0.48958333333333343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0.49305555555555558</v>
      </c>
      <c r="F16" s="6">
        <v>0.56180555555555556</v>
      </c>
      <c r="G16" s="7">
        <v>0.84652777777777777</v>
      </c>
      <c r="I16" s="9">
        <f t="shared" si="0"/>
        <v>0.53333333333333333</v>
      </c>
      <c r="J16" s="9">
        <f t="shared" si="1"/>
        <v>0.46458333333333335</v>
      </c>
      <c r="K16" s="8">
        <f t="shared" si="2"/>
        <v>6.8749999999999978E-2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0.31180555555555556</v>
      </c>
      <c r="E17" s="6">
        <v>0.65902777777777777</v>
      </c>
      <c r="F17" s="6"/>
      <c r="G17" s="7">
        <v>0.87361111111111101</v>
      </c>
      <c r="I17" s="9">
        <f t="shared" si="0"/>
        <v>0.56180555555555545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0">
        <v>23</v>
      </c>
      <c r="C18" s="5" t="s">
        <v>36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24</v>
      </c>
      <c r="C19" s="17" t="s">
        <v>40</v>
      </c>
      <c r="D19" s="6">
        <v>0.31666666666666665</v>
      </c>
      <c r="E19" s="6"/>
      <c r="F19" s="6"/>
      <c r="G19" s="7">
        <v>0.73541666666666661</v>
      </c>
      <c r="I19" s="9">
        <f t="shared" si="0"/>
        <v>0.41874999999999996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25</v>
      </c>
      <c r="C20" s="5" t="s">
        <v>41</v>
      </c>
      <c r="D20" s="6">
        <v>0.31597222222222221</v>
      </c>
      <c r="E20" s="6"/>
      <c r="F20" s="6"/>
      <c r="G20" s="7">
        <v>0.58819444444444446</v>
      </c>
      <c r="I20" s="9">
        <f t="shared" si="0"/>
        <v>0.27222222222222225</v>
      </c>
      <c r="J20" s="9" t="str">
        <f t="shared" si="1"/>
        <v>-</v>
      </c>
      <c r="K20" s="8" t="e">
        <f t="shared" si="2"/>
        <v>#VALUE!</v>
      </c>
      <c r="L20">
        <v>0.5</v>
      </c>
    </row>
    <row r="21" spans="1:12" x14ac:dyDescent="0.25">
      <c r="A21" s="2">
        <v>17</v>
      </c>
      <c r="B21" s="21">
        <v>29</v>
      </c>
      <c r="C21" s="19" t="s">
        <v>19</v>
      </c>
      <c r="D21" s="6">
        <v>0.30763888888888891</v>
      </c>
      <c r="E21" s="6"/>
      <c r="F21" s="6"/>
      <c r="G21" s="7">
        <v>0.57777777777777783</v>
      </c>
      <c r="I21" s="9">
        <f t="shared" si="0"/>
        <v>0.27013888888888893</v>
      </c>
      <c r="J21" s="9" t="str">
        <f t="shared" si="1"/>
        <v>-</v>
      </c>
      <c r="K21" s="8" t="e">
        <f t="shared" si="2"/>
        <v>#VALUE!</v>
      </c>
      <c r="L21">
        <v>0.5</v>
      </c>
    </row>
    <row r="22" spans="1:12" x14ac:dyDescent="0.25">
      <c r="A22" s="2">
        <v>18</v>
      </c>
      <c r="B22" s="20">
        <v>30</v>
      </c>
      <c r="C22" s="5" t="s">
        <v>30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31</v>
      </c>
      <c r="C23" s="5" t="s">
        <v>14</v>
      </c>
      <c r="D23" s="6">
        <v>0.31597222222222221</v>
      </c>
      <c r="E23" s="6">
        <v>0.54236111111111118</v>
      </c>
      <c r="F23" s="6">
        <v>0.61736111111111114</v>
      </c>
      <c r="G23" s="7">
        <v>0.88124999999999998</v>
      </c>
      <c r="I23" s="9">
        <f t="shared" si="0"/>
        <v>0.56527777777777777</v>
      </c>
      <c r="J23" s="9">
        <f t="shared" si="1"/>
        <v>0.49027777777777781</v>
      </c>
      <c r="K23" s="8">
        <f t="shared" si="2"/>
        <v>7.4999999999999956E-2</v>
      </c>
    </row>
    <row r="24" spans="1:12" x14ac:dyDescent="0.25">
      <c r="A24" s="2">
        <v>20</v>
      </c>
      <c r="B24" s="21">
        <v>32</v>
      </c>
      <c r="C24" s="19" t="s">
        <v>17</v>
      </c>
      <c r="D24" s="6">
        <v>0.34583333333333338</v>
      </c>
      <c r="E24" s="6">
        <v>0.50486111111111109</v>
      </c>
      <c r="F24" s="6">
        <v>0.57430555555555551</v>
      </c>
      <c r="G24" s="7">
        <v>0.875</v>
      </c>
      <c r="I24" s="9">
        <f t="shared" si="0"/>
        <v>0.52916666666666656</v>
      </c>
      <c r="J24" s="9">
        <f t="shared" si="1"/>
        <v>0.4597222222222222</v>
      </c>
      <c r="K24" s="8">
        <f t="shared" si="2"/>
        <v>6.9444444444444364E-2</v>
      </c>
    </row>
    <row r="25" spans="1:12" x14ac:dyDescent="0.25">
      <c r="A25" s="2">
        <v>21</v>
      </c>
      <c r="B25" s="20">
        <v>33</v>
      </c>
      <c r="C25" s="17" t="s">
        <v>78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34</v>
      </c>
      <c r="C26" s="18" t="s">
        <v>23</v>
      </c>
      <c r="D26" s="6"/>
      <c r="E26" s="6"/>
      <c r="F26" s="6"/>
      <c r="G26" s="7">
        <v>0.9159722222222223</v>
      </c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35</v>
      </c>
      <c r="C27" s="5" t="s">
        <v>5</v>
      </c>
      <c r="D27" s="6">
        <v>0.31666666666666665</v>
      </c>
      <c r="E27" s="6"/>
      <c r="F27" s="6"/>
      <c r="G27" s="7">
        <v>0.87361111111111101</v>
      </c>
      <c r="I27" s="9">
        <f t="shared" si="0"/>
        <v>0.55694444444444435</v>
      </c>
      <c r="J27" s="9" t="str">
        <f t="shared" si="1"/>
        <v>-</v>
      </c>
      <c r="K27" s="8" t="e">
        <f t="shared" si="2"/>
        <v>#VALUE!</v>
      </c>
      <c r="L27" s="8"/>
    </row>
    <row r="28" spans="1:12" x14ac:dyDescent="0.25">
      <c r="A28" s="2">
        <v>24</v>
      </c>
      <c r="B28" s="20">
        <v>38</v>
      </c>
      <c r="C28" s="5" t="s">
        <v>57</v>
      </c>
      <c r="D28" s="6">
        <v>0.31111111111111112</v>
      </c>
      <c r="E28" s="6"/>
      <c r="F28" s="6"/>
      <c r="G28" s="7">
        <v>0.88541666666666663</v>
      </c>
      <c r="I28" s="9">
        <f t="shared" si="0"/>
        <v>0.57430555555555551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40</v>
      </c>
      <c r="C29" s="5" t="s">
        <v>16</v>
      </c>
      <c r="D29" s="6">
        <v>0.53680555555555554</v>
      </c>
      <c r="E29" s="6"/>
      <c r="F29" s="6"/>
      <c r="G29" s="7">
        <v>0.91527777777777775</v>
      </c>
      <c r="I29" s="9">
        <f t="shared" si="0"/>
        <v>0.37847222222222221</v>
      </c>
      <c r="J29" s="9" t="str">
        <f t="shared" si="1"/>
        <v>-</v>
      </c>
      <c r="K29" s="8" t="e">
        <f t="shared" si="2"/>
        <v>#VALUE!</v>
      </c>
      <c r="L29" s="8">
        <v>4.1666666666666664E-2</v>
      </c>
    </row>
    <row r="30" spans="1:12" x14ac:dyDescent="0.25">
      <c r="A30" s="2">
        <v>26</v>
      </c>
      <c r="B30" s="21">
        <v>44</v>
      </c>
      <c r="C30" s="19" t="s">
        <v>20</v>
      </c>
      <c r="D30" s="6">
        <v>0.30833333333333335</v>
      </c>
      <c r="E30" s="6">
        <v>0.55972222222222223</v>
      </c>
      <c r="F30" s="6"/>
      <c r="G30" s="7">
        <v>0.55972222222222223</v>
      </c>
      <c r="I30" s="9">
        <f t="shared" si="0"/>
        <v>0.25138888888888888</v>
      </c>
      <c r="J30" s="9" t="str">
        <f t="shared" si="1"/>
        <v>-</v>
      </c>
      <c r="K30" s="8" t="e">
        <f t="shared" si="2"/>
        <v>#VALUE!</v>
      </c>
      <c r="L30">
        <v>0.5</v>
      </c>
    </row>
    <row r="31" spans="1:12" x14ac:dyDescent="0.25">
      <c r="A31" s="2">
        <v>27</v>
      </c>
      <c r="B31" s="20">
        <v>56</v>
      </c>
      <c r="C31" s="5" t="s">
        <v>15</v>
      </c>
      <c r="D31" s="6">
        <v>0.31319444444444444</v>
      </c>
      <c r="E31" s="6">
        <v>0.56666666666666665</v>
      </c>
      <c r="F31" s="6">
        <v>0.63402777777777775</v>
      </c>
      <c r="G31" s="7">
        <v>0.87986111111111109</v>
      </c>
      <c r="I31" s="9">
        <f t="shared" si="0"/>
        <v>0.56666666666666665</v>
      </c>
      <c r="J31" s="9">
        <f t="shared" si="1"/>
        <v>0.49930555555555556</v>
      </c>
      <c r="K31" s="8">
        <f t="shared" si="2"/>
        <v>6.7361111111111094E-2</v>
      </c>
    </row>
    <row r="32" spans="1:12" x14ac:dyDescent="0.25">
      <c r="A32" s="2">
        <v>28</v>
      </c>
      <c r="B32" s="21">
        <v>58</v>
      </c>
      <c r="C32" s="19" t="s">
        <v>18</v>
      </c>
      <c r="D32" s="6">
        <v>0.32500000000000001</v>
      </c>
      <c r="E32" s="6">
        <v>0.56666666666666665</v>
      </c>
      <c r="F32" s="6">
        <v>0.65069444444444446</v>
      </c>
      <c r="G32" s="7">
        <v>0.89374999999999993</v>
      </c>
      <c r="I32" s="9">
        <f t="shared" si="0"/>
        <v>0.56874999999999987</v>
      </c>
      <c r="J32" s="9">
        <f t="shared" si="1"/>
        <v>0.48472222222222211</v>
      </c>
      <c r="K32" s="8">
        <f t="shared" si="2"/>
        <v>8.4027777777777757E-2</v>
      </c>
    </row>
    <row r="33" spans="1:12" x14ac:dyDescent="0.25">
      <c r="A33" s="2">
        <v>29</v>
      </c>
      <c r="B33" s="20">
        <v>60</v>
      </c>
      <c r="C33" s="19" t="s">
        <v>58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2" x14ac:dyDescent="0.25">
      <c r="A34" s="2">
        <v>30</v>
      </c>
      <c r="B34" s="20">
        <v>69</v>
      </c>
      <c r="C34" s="17" t="s">
        <v>55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2" x14ac:dyDescent="0.25">
      <c r="A35" s="2">
        <v>31</v>
      </c>
      <c r="B35" s="20">
        <v>72</v>
      </c>
      <c r="C35" s="17" t="s">
        <v>45</v>
      </c>
      <c r="D35" s="6">
        <v>0.51874999999999993</v>
      </c>
      <c r="E35" s="6"/>
      <c r="F35" s="6"/>
      <c r="G35" s="7">
        <v>0.8041666666666667</v>
      </c>
      <c r="I35" s="9">
        <f t="shared" si="0"/>
        <v>0.28541666666666676</v>
      </c>
      <c r="J35" s="9" t="str">
        <f t="shared" si="1"/>
        <v>-</v>
      </c>
      <c r="K35" s="8" t="e">
        <f t="shared" si="2"/>
        <v>#VALUE!</v>
      </c>
    </row>
    <row r="36" spans="1:12" x14ac:dyDescent="0.25">
      <c r="A36" s="2">
        <v>32</v>
      </c>
      <c r="B36" s="21">
        <v>75</v>
      </c>
      <c r="C36" s="19" t="s">
        <v>34</v>
      </c>
      <c r="D36" s="6">
        <v>0.31527777777777777</v>
      </c>
      <c r="E36" s="6">
        <v>0.58124999999999993</v>
      </c>
      <c r="F36" s="6">
        <v>0.64513888888888882</v>
      </c>
      <c r="G36" s="7">
        <v>0.87361111111111101</v>
      </c>
      <c r="I36" s="9">
        <f t="shared" si="0"/>
        <v>0.55833333333333324</v>
      </c>
      <c r="J36" s="9">
        <f t="shared" si="1"/>
        <v>0.49444444444444435</v>
      </c>
      <c r="K36" s="8">
        <f t="shared" si="2"/>
        <v>6.3888888888888884E-2</v>
      </c>
    </row>
    <row r="37" spans="1:12" x14ac:dyDescent="0.25">
      <c r="A37" s="2">
        <v>33</v>
      </c>
      <c r="B37" s="20">
        <v>76</v>
      </c>
      <c r="C37" s="19" t="s">
        <v>29</v>
      </c>
      <c r="D37" s="6">
        <v>0.31111111111111112</v>
      </c>
      <c r="E37" s="6">
        <v>0.59513888888888888</v>
      </c>
      <c r="F37" s="6">
        <v>0.65833333333333333</v>
      </c>
      <c r="G37" s="7">
        <v>0.87222222222222223</v>
      </c>
      <c r="I37" s="9">
        <f t="shared" si="0"/>
        <v>0.56111111111111112</v>
      </c>
      <c r="J37" s="9">
        <f t="shared" si="1"/>
        <v>0.49791666666666667</v>
      </c>
      <c r="K37" s="8">
        <f t="shared" si="2"/>
        <v>6.3194444444444442E-2</v>
      </c>
    </row>
    <row r="38" spans="1:12" x14ac:dyDescent="0.25">
      <c r="A38" s="2">
        <v>34</v>
      </c>
      <c r="B38" s="20">
        <v>77</v>
      </c>
      <c r="C38" s="17" t="s">
        <v>42</v>
      </c>
      <c r="D38" s="6">
        <v>0.3125</v>
      </c>
      <c r="E38" s="6"/>
      <c r="F38" s="6"/>
      <c r="G38" s="7">
        <v>0.7729166666666667</v>
      </c>
      <c r="I38" s="9">
        <f t="shared" si="0"/>
        <v>0.4604166666666667</v>
      </c>
      <c r="J38" s="9" t="str">
        <f t="shared" si="1"/>
        <v>-</v>
      </c>
      <c r="K38" s="8" t="e">
        <f t="shared" si="2"/>
        <v>#VALUE!</v>
      </c>
      <c r="L38">
        <v>1.5</v>
      </c>
    </row>
    <row r="39" spans="1:12" x14ac:dyDescent="0.25">
      <c r="A39" s="2">
        <v>35</v>
      </c>
      <c r="B39" s="21">
        <v>83</v>
      </c>
      <c r="C39" s="19" t="s">
        <v>31</v>
      </c>
      <c r="D39" s="6"/>
      <c r="E39" s="6">
        <v>0.625</v>
      </c>
      <c r="F39" s="6">
        <v>0.7090277777777777</v>
      </c>
      <c r="G39" s="7">
        <v>0.87013888888888891</v>
      </c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2" x14ac:dyDescent="0.25">
      <c r="A40" s="2">
        <v>36</v>
      </c>
      <c r="B40" s="21">
        <v>86</v>
      </c>
      <c r="C40" s="17" t="s">
        <v>85</v>
      </c>
      <c r="D40" s="6"/>
      <c r="E40" s="6"/>
      <c r="F40" s="6"/>
      <c r="G40" s="7"/>
      <c r="I40" s="9" t="str">
        <f t="shared" ref="I40" si="3">IF(AND(D40 &lt;&gt; "", G40 &lt;&gt; ""), G40 - D40, "-")</f>
        <v>-</v>
      </c>
      <c r="J40" s="9" t="str">
        <f t="shared" ref="J40" si="4">IF(AND(D40 &lt;&gt; "", E40 &lt;&gt; "", F40 &lt;&gt; "", G40 &lt;&gt; ""), (E40 - D40)  + (G40 - F40), "-")</f>
        <v>-</v>
      </c>
      <c r="K40" s="8" t="e">
        <f t="shared" ref="K40" si="5">SUM(I40-J40)</f>
        <v>#VALUE!</v>
      </c>
    </row>
    <row r="41" spans="1:12" x14ac:dyDescent="0.25">
      <c r="A41" s="2">
        <v>37</v>
      </c>
      <c r="B41" s="21">
        <v>87</v>
      </c>
      <c r="C41" s="19" t="s">
        <v>47</v>
      </c>
      <c r="D41" s="6">
        <v>0.31736111111111115</v>
      </c>
      <c r="E41" s="6">
        <v>0.52083333333333337</v>
      </c>
      <c r="F41" s="6"/>
      <c r="G41" s="7">
        <v>0.87013888888888891</v>
      </c>
      <c r="I41" s="9">
        <f t="shared" si="0"/>
        <v>0.55277777777777781</v>
      </c>
      <c r="J41" s="9" t="str">
        <f t="shared" si="1"/>
        <v>-</v>
      </c>
      <c r="K41" s="8" t="e">
        <f t="shared" si="2"/>
        <v>#VALUE!</v>
      </c>
    </row>
    <row r="42" spans="1:12" x14ac:dyDescent="0.25">
      <c r="A42" s="2">
        <v>38</v>
      </c>
      <c r="B42" s="20">
        <v>90</v>
      </c>
      <c r="C42" s="5" t="s">
        <v>25</v>
      </c>
      <c r="D42" s="6">
        <v>0.33888888888888885</v>
      </c>
      <c r="E42" s="6">
        <v>0.66736111111111107</v>
      </c>
      <c r="F42" s="6">
        <v>0.72986111111111107</v>
      </c>
      <c r="G42" s="7">
        <v>0.87569444444444444</v>
      </c>
      <c r="I42" s="9">
        <f t="shared" si="0"/>
        <v>0.53680555555555554</v>
      </c>
      <c r="J42" s="9">
        <f t="shared" si="1"/>
        <v>0.47430555555555559</v>
      </c>
      <c r="K42" s="8">
        <f t="shared" si="2"/>
        <v>6.2499999999999944E-2</v>
      </c>
    </row>
    <row r="43" spans="1:12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0.97152777777777777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2" x14ac:dyDescent="0.25">
      <c r="A44" s="2">
        <v>40</v>
      </c>
      <c r="B44" s="20">
        <v>99</v>
      </c>
      <c r="C44" s="5" t="s">
        <v>13</v>
      </c>
      <c r="D44" s="6">
        <v>0.32500000000000001</v>
      </c>
      <c r="E44" s="6"/>
      <c r="F44" s="6"/>
      <c r="G44" s="7">
        <v>0.57152777777777775</v>
      </c>
      <c r="I44" s="9">
        <f t="shared" si="0"/>
        <v>0.24652777777777773</v>
      </c>
      <c r="J44" s="9" t="str">
        <f t="shared" si="1"/>
        <v>-</v>
      </c>
      <c r="K44" s="8" t="e">
        <f t="shared" si="2"/>
        <v>#VALUE!</v>
      </c>
    </row>
    <row r="45" spans="1:12" x14ac:dyDescent="0.25">
      <c r="A45" s="2">
        <v>41</v>
      </c>
      <c r="B45" s="21">
        <v>115</v>
      </c>
      <c r="C45" s="17" t="s">
        <v>38</v>
      </c>
      <c r="D45" s="6">
        <v>0.52013888888888882</v>
      </c>
      <c r="E45" s="1"/>
      <c r="F45" s="1"/>
      <c r="G45" s="7">
        <v>0.87777777777777777</v>
      </c>
      <c r="I45" s="9">
        <f t="shared" si="0"/>
        <v>0.35763888888888895</v>
      </c>
      <c r="J45" s="9" t="str">
        <f t="shared" si="1"/>
        <v>-</v>
      </c>
      <c r="K45" s="8" t="e">
        <f t="shared" si="2"/>
        <v>#VALUE!</v>
      </c>
    </row>
    <row r="46" spans="1:12" x14ac:dyDescent="0.25">
      <c r="A46" s="2">
        <v>42</v>
      </c>
      <c r="B46" s="21">
        <v>116</v>
      </c>
      <c r="C46" s="17" t="s">
        <v>86</v>
      </c>
      <c r="D46" s="6"/>
      <c r="E46" s="1"/>
      <c r="F46" s="1"/>
      <c r="G46" s="7"/>
      <c r="I46" s="9" t="str">
        <f t="shared" ref="I46" si="6">IF(AND(D46 &lt;&gt; "", G46 &lt;&gt; ""), G46 - D46, "-")</f>
        <v>-</v>
      </c>
      <c r="J46" s="9" t="str">
        <f t="shared" ref="J46" si="7">IF(AND(D46 &lt;&gt; "", E46 &lt;&gt; "", F46 &lt;&gt; "", G46 &lt;&gt; ""), (E46 - D46)  + (G46 - F46), "-")</f>
        <v>-</v>
      </c>
      <c r="K46" s="8" t="e">
        <f t="shared" ref="K46" si="8">SUM(I46-J46)</f>
        <v>#VALUE!</v>
      </c>
    </row>
    <row r="47" spans="1:12" x14ac:dyDescent="0.25">
      <c r="A47" s="2">
        <v>43</v>
      </c>
      <c r="B47" s="20">
        <v>117</v>
      </c>
      <c r="C47" s="17" t="s">
        <v>44</v>
      </c>
      <c r="D47" s="6">
        <v>0.31527777777777777</v>
      </c>
      <c r="E47" s="6"/>
      <c r="F47" s="6"/>
      <c r="G47" s="7">
        <v>0.68055555555555547</v>
      </c>
      <c r="I47" s="9">
        <f t="shared" si="0"/>
        <v>0.3652777777777777</v>
      </c>
      <c r="J47" s="9" t="str">
        <f t="shared" si="1"/>
        <v>-</v>
      </c>
      <c r="K47" s="8" t="e">
        <f t="shared" si="2"/>
        <v>#VALUE!</v>
      </c>
    </row>
    <row r="48" spans="1:12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0.81874999999999998</v>
      </c>
      <c r="I49" s="9">
        <f t="shared" si="0"/>
        <v>0.50694444444444442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>
        <v>0.69652777777777775</v>
      </c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0.56388888888888888</v>
      </c>
      <c r="E51" s="6"/>
      <c r="F51" s="6"/>
      <c r="G51" s="7">
        <v>0.92986111111111114</v>
      </c>
      <c r="I51" s="9">
        <f t="shared" si="0"/>
        <v>0.36597222222222225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0.32013888888888892</v>
      </c>
      <c r="E52" s="6"/>
      <c r="F52" s="6"/>
      <c r="G52" s="7">
        <v>0.83194444444444438</v>
      </c>
      <c r="I52" s="9">
        <f t="shared" si="0"/>
        <v>0.5118055555555554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0.30833333333333335</v>
      </c>
      <c r="E54" s="6">
        <v>0.65138888888888891</v>
      </c>
      <c r="F54" s="6">
        <v>0.71875</v>
      </c>
      <c r="G54" s="7">
        <v>0.89097222222222217</v>
      </c>
      <c r="I54" s="9">
        <f t="shared" si="0"/>
        <v>0.58263888888888882</v>
      </c>
      <c r="J54" s="9">
        <f t="shared" si="1"/>
        <v>0.51527777777777772</v>
      </c>
      <c r="K54" s="8">
        <f t="shared" si="2"/>
        <v>6.7361111111111094E-2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0.31388888888888888</v>
      </c>
      <c r="E56" s="6">
        <v>0.72083333333333333</v>
      </c>
      <c r="F56" s="6"/>
      <c r="G56" s="7">
        <v>0.87222222222222223</v>
      </c>
      <c r="I56" s="9">
        <f t="shared" si="0"/>
        <v>0.55833333333333335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0.32916666666666666</v>
      </c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0.31597222222222221</v>
      </c>
      <c r="E61" s="6">
        <v>0.63680555555555551</v>
      </c>
      <c r="F61" s="6">
        <v>0.70277777777777783</v>
      </c>
      <c r="G61" s="7">
        <v>0.87569444444444444</v>
      </c>
      <c r="I61" s="9">
        <f t="shared" si="0"/>
        <v>0.55972222222222223</v>
      </c>
      <c r="J61" s="9">
        <f t="shared" si="1"/>
        <v>0.49374999999999991</v>
      </c>
      <c r="K61" s="8">
        <f t="shared" si="2"/>
        <v>6.5972222222222321E-2</v>
      </c>
    </row>
    <row r="62" spans="1:11" x14ac:dyDescent="0.25">
      <c r="A62" s="2">
        <v>58</v>
      </c>
      <c r="B62" s="20">
        <v>165</v>
      </c>
      <c r="C62" s="17" t="s">
        <v>56</v>
      </c>
      <c r="D62" s="6">
        <v>0.32500000000000001</v>
      </c>
      <c r="E62" s="6">
        <v>0.58611111111111114</v>
      </c>
      <c r="F62" s="6">
        <v>0.61388888888888882</v>
      </c>
      <c r="G62" s="7">
        <v>0.68680555555555556</v>
      </c>
      <c r="I62" s="9">
        <f t="shared" si="0"/>
        <v>0.36180555555555555</v>
      </c>
      <c r="J62" s="9">
        <f t="shared" si="1"/>
        <v>0.33402777777777787</v>
      </c>
      <c r="K62" s="8">
        <f t="shared" si="2"/>
        <v>2.7777777777777679E-2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0.31666666666666665</v>
      </c>
      <c r="E63" s="6">
        <v>0.44305555555555554</v>
      </c>
      <c r="F63" s="6">
        <v>0.50347222222222221</v>
      </c>
      <c r="G63" s="7">
        <v>0.87430555555555556</v>
      </c>
      <c r="I63" s="9">
        <f t="shared" si="0"/>
        <v>0.55763888888888891</v>
      </c>
      <c r="J63" s="9">
        <f t="shared" si="1"/>
        <v>0.49722222222222223</v>
      </c>
      <c r="K63" s="8">
        <f t="shared" si="2"/>
        <v>6.0416666666666674E-2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0.56111111111111112</v>
      </c>
      <c r="E64" s="6"/>
      <c r="F64" s="6"/>
      <c r="G64" s="6">
        <v>0.92986111111111114</v>
      </c>
      <c r="I64" s="9">
        <f t="shared" si="0"/>
        <v>0.36875000000000002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/>
      <c r="E65" s="1"/>
      <c r="F65" s="1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0.52569444444444446</v>
      </c>
      <c r="E66" s="1"/>
      <c r="F66" s="1"/>
      <c r="G66" s="6">
        <v>0.88194444444444453</v>
      </c>
      <c r="I66" s="9">
        <f t="shared" si="0"/>
        <v>0.35625000000000007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>
        <v>0.38125000000000003</v>
      </c>
      <c r="E67" s="6"/>
      <c r="F67" s="6"/>
      <c r="G67" s="6">
        <v>0.7368055555555556</v>
      </c>
      <c r="I67" s="9">
        <f t="shared" si="0"/>
        <v>0.35555555555555557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0"/>
        <v>-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0.52013888888888882</v>
      </c>
      <c r="E69" s="6">
        <v>0.6069444444444444</v>
      </c>
      <c r="F69" s="6">
        <v>0.62708333333333333</v>
      </c>
      <c r="G69" s="6">
        <v>0.87777777777777777</v>
      </c>
      <c r="I69" s="9">
        <f t="shared" si="0"/>
        <v>0.35763888888888895</v>
      </c>
      <c r="J69" s="9">
        <f t="shared" si="1"/>
        <v>0.33750000000000002</v>
      </c>
      <c r="K69" s="8">
        <f t="shared" si="2"/>
        <v>2.0138888888888928E-2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0.32222222222222224</v>
      </c>
      <c r="E70" s="6">
        <v>0.41875000000000001</v>
      </c>
      <c r="F70" s="6">
        <v>0.44305555555555554</v>
      </c>
      <c r="G70" s="6">
        <v>0.6777777777777777</v>
      </c>
      <c r="I70" s="9">
        <f t="shared" ref="I70:I79" si="9">IF(AND(D70 &lt;&gt; "", G70 &lt;&gt; ""), G70 - D70, "-")</f>
        <v>0.35555555555555546</v>
      </c>
      <c r="J70" s="9">
        <f t="shared" ref="J70:J79" si="10">IF(AND(D70 &lt;&gt; "", E70 &lt;&gt; "", F70 &lt;&gt; "", G70 &lt;&gt; ""), (E70 - D70)  + (G70 - F70), "-")</f>
        <v>0.33124999999999993</v>
      </c>
      <c r="K70" s="8">
        <f t="shared" ref="K70:K79" si="11">SUM(I70-J70)</f>
        <v>2.4305555555555525E-2</v>
      </c>
    </row>
    <row r="71" spans="1:11" x14ac:dyDescent="0.25">
      <c r="A71" s="2">
        <v>67</v>
      </c>
      <c r="B71" s="20">
        <v>182</v>
      </c>
      <c r="C71" s="17" t="s">
        <v>73</v>
      </c>
      <c r="D71" s="6">
        <v>0.51180555555555551</v>
      </c>
      <c r="E71" s="1"/>
      <c r="F71" s="1"/>
      <c r="G71" s="6">
        <v>0.88958333333333339</v>
      </c>
      <c r="I71" s="9">
        <f t="shared" si="9"/>
        <v>0.37777777777777788</v>
      </c>
      <c r="J71" s="9" t="str">
        <f t="shared" si="10"/>
        <v>-</v>
      </c>
      <c r="K71" s="8" t="e">
        <f t="shared" si="11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0.52152777777777781</v>
      </c>
      <c r="E72" s="35">
        <v>0.84791666666666676</v>
      </c>
      <c r="F72" s="35">
        <v>0.86875000000000002</v>
      </c>
      <c r="G72" s="35">
        <v>0.88402777777777775</v>
      </c>
      <c r="I72" s="9">
        <f t="shared" si="9"/>
        <v>0.36249999999999993</v>
      </c>
      <c r="J72" s="9">
        <f t="shared" si="10"/>
        <v>0.34166666666666667</v>
      </c>
      <c r="K72" s="8">
        <f t="shared" si="11"/>
        <v>2.0833333333333259E-2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0.33958333333333335</v>
      </c>
      <c r="E73" s="6">
        <v>0.66736111111111107</v>
      </c>
      <c r="F73" s="6">
        <v>0.72986111111111107</v>
      </c>
      <c r="G73" s="6">
        <v>0.875</v>
      </c>
      <c r="I73" s="9">
        <f t="shared" si="9"/>
        <v>0.53541666666666665</v>
      </c>
      <c r="J73" s="9">
        <f t="shared" si="10"/>
        <v>0.47291666666666665</v>
      </c>
      <c r="K73" s="8">
        <f t="shared" si="11"/>
        <v>6.25E-2</v>
      </c>
    </row>
    <row r="74" spans="1:11" x14ac:dyDescent="0.25">
      <c r="A74" s="2">
        <v>70</v>
      </c>
      <c r="B74" s="21">
        <v>187</v>
      </c>
      <c r="C74" s="17" t="s">
        <v>76</v>
      </c>
      <c r="D74" s="6">
        <v>0.49861111111111112</v>
      </c>
      <c r="E74" s="1"/>
      <c r="F74" s="1"/>
      <c r="G74" s="6">
        <v>0.87430555555555556</v>
      </c>
      <c r="I74" s="9">
        <f t="shared" si="9"/>
        <v>0.37569444444444444</v>
      </c>
      <c r="J74" s="9" t="str">
        <f t="shared" si="10"/>
        <v>-</v>
      </c>
      <c r="K74" s="8" t="e">
        <f t="shared" si="11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9"/>
        <v>-</v>
      </c>
      <c r="J75" s="9" t="str">
        <f t="shared" si="10"/>
        <v>-</v>
      </c>
      <c r="K75" s="8" t="e">
        <f t="shared" si="11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9"/>
        <v>-</v>
      </c>
      <c r="J76" s="9" t="str">
        <f t="shared" si="10"/>
        <v>-</v>
      </c>
      <c r="K76" s="8" t="e">
        <f t="shared" si="11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0.61805555555555558</v>
      </c>
      <c r="F77" s="6">
        <v>0.68472222222222223</v>
      </c>
      <c r="G77" s="6">
        <v>0.88124999999999998</v>
      </c>
      <c r="I77" s="9">
        <f t="shared" si="9"/>
        <v>0.56458333333333333</v>
      </c>
      <c r="J77" s="9">
        <f t="shared" si="10"/>
        <v>0.49791666666666667</v>
      </c>
      <c r="K77" s="8">
        <f t="shared" si="11"/>
        <v>6.6666666666666652E-2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9"/>
        <v>-</v>
      </c>
      <c r="J78" s="9" t="str">
        <f t="shared" si="10"/>
        <v>-</v>
      </c>
      <c r="K78" s="8" t="e">
        <f t="shared" si="11"/>
        <v>#VALUE!</v>
      </c>
    </row>
    <row r="79" spans="1:11" x14ac:dyDescent="0.25">
      <c r="A79" s="2">
        <v>75</v>
      </c>
      <c r="B79" s="20">
        <v>192</v>
      </c>
      <c r="C79" s="17" t="s">
        <v>83</v>
      </c>
      <c r="D79" s="1"/>
      <c r="E79" s="1"/>
      <c r="F79" s="1"/>
      <c r="G79" s="1"/>
      <c r="I79" s="9" t="str">
        <f t="shared" si="9"/>
        <v>-</v>
      </c>
      <c r="J79" s="9" t="str">
        <f t="shared" si="10"/>
        <v>-</v>
      </c>
      <c r="K79" s="8" t="e">
        <f t="shared" si="11"/>
        <v>#VALUE!</v>
      </c>
    </row>
    <row r="80" spans="1:11" x14ac:dyDescent="0.25">
      <c r="A80" s="2">
        <v>76</v>
      </c>
      <c r="B80" s="20">
        <v>193</v>
      </c>
      <c r="C80" s="17" t="s">
        <v>84</v>
      </c>
      <c r="D80" s="1"/>
      <c r="E80" s="1"/>
      <c r="F80" s="1"/>
      <c r="G80" s="1"/>
      <c r="I80" s="9" t="str">
        <f t="shared" ref="I80" si="12">IF(AND(D80 &lt;&gt; "", G80 &lt;&gt; ""), G80 - D80, "-")</f>
        <v>-</v>
      </c>
      <c r="J80" s="9" t="str">
        <f t="shared" ref="J80" si="13">IF(AND(D80 &lt;&gt; "", E80 &lt;&gt; "", F80 &lt;&gt; "", G80 &lt;&gt; ""), (E80 - D80)  + (G80 - F80), "-")</f>
        <v>-</v>
      </c>
      <c r="K80" s="8" t="e">
        <f t="shared" ref="K80" si="14">SUM(I80-J80)</f>
        <v>#VALUE!</v>
      </c>
    </row>
  </sheetData>
  <mergeCells count="2">
    <mergeCell ref="C2:G2"/>
    <mergeCell ref="E3:F3"/>
  </mergeCells>
  <conditionalFormatting sqref="A5:A80 I61:J80 D54:J55 H56:J56 D57:J58 H10:J10 D11:J12">
    <cfRule type="expression" dxfId="141" priority="18">
      <formula>$I5 &lt; TIME(12,0,0)</formula>
    </cfRule>
  </conditionalFormatting>
  <conditionalFormatting sqref="A5:A80 I61:J80">
    <cfRule type="cellIs" dxfId="140" priority="17" operator="between">
      <formula>0.291666666666667</formula>
      <formula>0.315972222222222</formula>
    </cfRule>
  </conditionalFormatting>
  <conditionalFormatting sqref="C5:C18 C26:C27">
    <cfRule type="expression" priority="21" stopIfTrue="1">
      <formula>COUNTIF($E$1:$E$91,C5)&gt;1</formula>
    </cfRule>
    <cfRule type="expression" priority="22" stopIfTrue="1">
      <formula>COUNTIF($E$1:$E$95,C5)&gt;1</formula>
    </cfRule>
  </conditionalFormatting>
  <conditionalFormatting sqref="C19:C25 C28:C29 C32 C34:C72">
    <cfRule type="expression" priority="113" stopIfTrue="1">
      <formula>COUNTIF($D$1:$D$82,C19)&gt;1</formula>
    </cfRule>
    <cfRule type="expression" priority="114" stopIfTrue="1">
      <formula>COUNTIF($D$1:$D$86,C19)&gt;1</formula>
    </cfRule>
  </conditionalFormatting>
  <conditionalFormatting sqref="C30:C31 C33">
    <cfRule type="expression" priority="123" stopIfTrue="1">
      <formula>COUNTIF($E$1:$E$90,C30)&gt;1</formula>
    </cfRule>
    <cfRule type="expression" priority="124" stopIfTrue="1">
      <formula>COUNTIF($E$1:$E$94,C30)&gt;1</formula>
    </cfRule>
  </conditionalFormatting>
  <conditionalFormatting sqref="C73:C80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139" priority="4" operator="between">
      <formula>0.333333333333333</formula>
      <formula>0.375</formula>
    </cfRule>
  </conditionalFormatting>
  <conditionalFormatting sqref="D56:G56">
    <cfRule type="cellIs" dxfId="138" priority="14" operator="between">
      <formula>0.875694444444444</formula>
      <formula>0.999305555555556</formula>
    </cfRule>
    <cfRule type="cellIs" dxfId="137" priority="16" operator="between">
      <formula>0.333333333333333</formula>
      <formula>0.375</formula>
    </cfRule>
  </conditionalFormatting>
  <conditionalFormatting sqref="D5:J9">
    <cfRule type="expression" dxfId="136" priority="6">
      <formula>$I5 &lt; TIME(12,0,0)</formula>
    </cfRule>
  </conditionalFormatting>
  <conditionalFormatting sqref="D5:J12">
    <cfRule type="cellIs" dxfId="135" priority="5" operator="between">
      <formula>0.291666666666667</formula>
      <formula>0.315972222222222</formula>
    </cfRule>
  </conditionalFormatting>
  <conditionalFormatting sqref="D13:J53">
    <cfRule type="cellIs" dxfId="134" priority="1" operator="between">
      <formula>0.291666666666667</formula>
      <formula>0.315972222222222</formula>
    </cfRule>
    <cfRule type="expression" dxfId="133" priority="2">
      <formula>$I13 &lt; TIME(12,0,0)</formula>
    </cfRule>
  </conditionalFormatting>
  <conditionalFormatting sqref="D54:J58">
    <cfRule type="cellIs" dxfId="132" priority="15" operator="between">
      <formula>0.291666666666667</formula>
      <formula>0.315972222222222</formula>
    </cfRule>
  </conditionalFormatting>
  <conditionalFormatting sqref="D59:J60">
    <cfRule type="cellIs" dxfId="131" priority="11" operator="between">
      <formula>0.291666666666667</formula>
      <formula>0.315972222222222</formula>
    </cfRule>
    <cfRule type="expression" dxfId="130" priority="12">
      <formula>$I59 &lt; TIME(12,0,0)</formula>
    </cfRule>
  </conditionalFormatting>
  <conditionalFormatting sqref="G10">
    <cfRule type="cellIs" dxfId="129" priority="3" operator="between">
      <formula>0.875694444444444</formula>
      <formula>0.978472222222222</formula>
    </cfRule>
  </conditionalFormatting>
  <conditionalFormatting sqref="G56">
    <cfRule type="cellIs" dxfId="128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F2D5-C15A-41EF-8810-63EC8DA2E16A}">
  <dimension ref="A2:M79"/>
  <sheetViews>
    <sheetView workbookViewId="0">
      <pane ySplit="3" topLeftCell="A23" activePane="bottomLeft" state="frozen"/>
      <selection pane="bottomLeft" activeCell="Q42" sqref="Q42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0" t="s">
        <v>0</v>
      </c>
      <c r="D3" s="3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/>
      <c r="E6" s="6"/>
      <c r="F6" s="6"/>
      <c r="G6" s="7"/>
      <c r="I6" s="9" t="str">
        <f t="shared" ref="I6:I69" si="0">IF(AND(D6 &lt;&gt; "", G6 &lt;&gt; ""), G6 - D6, "-")</f>
        <v>-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0.31111111111111112</v>
      </c>
      <c r="E10" s="6">
        <v>0.62222222222222223</v>
      </c>
      <c r="F10" s="6">
        <v>0.68125000000000002</v>
      </c>
      <c r="G10" s="7">
        <v>0.87222222222222223</v>
      </c>
      <c r="I10" s="9">
        <f t="shared" si="0"/>
        <v>0.56111111111111112</v>
      </c>
      <c r="J10" s="9">
        <f t="shared" si="1"/>
        <v>0.50208333333333333</v>
      </c>
      <c r="K10" s="8">
        <f t="shared" si="2"/>
        <v>5.902777777777779E-2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0.3215277777777778</v>
      </c>
      <c r="E11" s="6">
        <v>0.58402777777777781</v>
      </c>
      <c r="F11" s="6">
        <v>0.64166666666666672</v>
      </c>
      <c r="G11" s="7">
        <v>0.86249999999999993</v>
      </c>
      <c r="I11" s="9">
        <f t="shared" si="0"/>
        <v>0.54097222222222219</v>
      </c>
      <c r="J11" s="9">
        <f t="shared" si="1"/>
        <v>0.48333333333333323</v>
      </c>
      <c r="K11" s="8">
        <f t="shared" si="2"/>
        <v>5.7638888888888962E-2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0.30763888888888891</v>
      </c>
      <c r="E12" s="6">
        <v>0.58819444444444446</v>
      </c>
      <c r="F12" s="6">
        <v>0.64930555555555558</v>
      </c>
      <c r="G12" s="7">
        <v>0.87361111111111101</v>
      </c>
      <c r="I12" s="9">
        <f t="shared" si="0"/>
        <v>0.5659722222222221</v>
      </c>
      <c r="J12" s="9">
        <f t="shared" si="1"/>
        <v>0.50486111111111098</v>
      </c>
      <c r="K12" s="8">
        <f t="shared" si="2"/>
        <v>6.1111111111111116E-2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0.31875000000000003</v>
      </c>
      <c r="E16" s="6">
        <v>0.39583333333333331</v>
      </c>
      <c r="F16" s="6">
        <v>0.4604166666666667</v>
      </c>
      <c r="G16" s="7">
        <v>0.83263888888888893</v>
      </c>
      <c r="I16" s="9">
        <f t="shared" si="0"/>
        <v>0.51388888888888884</v>
      </c>
      <c r="J16" s="9">
        <f t="shared" si="1"/>
        <v>0.44930555555555551</v>
      </c>
      <c r="K16" s="8">
        <f t="shared" si="2"/>
        <v>6.4583333333333326E-2</v>
      </c>
    </row>
    <row r="17" spans="1:13" x14ac:dyDescent="0.25">
      <c r="A17" s="2">
        <v>13</v>
      </c>
      <c r="B17" s="20">
        <v>19</v>
      </c>
      <c r="C17" s="19" t="s">
        <v>27</v>
      </c>
      <c r="D17" s="6">
        <v>0.31388888888888888</v>
      </c>
      <c r="E17" s="6">
        <v>0.66805555555555562</v>
      </c>
      <c r="F17" s="6">
        <v>0.73125000000000007</v>
      </c>
      <c r="G17" s="7">
        <v>0.87777777777777777</v>
      </c>
      <c r="I17" s="9">
        <f t="shared" si="0"/>
        <v>0.56388888888888888</v>
      </c>
      <c r="J17" s="9">
        <f t="shared" si="1"/>
        <v>0.50069444444444444</v>
      </c>
      <c r="K17" s="8">
        <f t="shared" si="2"/>
        <v>6.3194444444444442E-2</v>
      </c>
    </row>
    <row r="18" spans="1:13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3" x14ac:dyDescent="0.25">
      <c r="A19" s="2">
        <v>15</v>
      </c>
      <c r="B19" s="20">
        <v>23</v>
      </c>
      <c r="C19" s="5" t="s">
        <v>36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3" x14ac:dyDescent="0.25">
      <c r="A20" s="2">
        <v>16</v>
      </c>
      <c r="B20" s="20">
        <v>24</v>
      </c>
      <c r="C20" s="17" t="s">
        <v>40</v>
      </c>
      <c r="D20" s="6">
        <v>0.31527777777777777</v>
      </c>
      <c r="E20" s="6"/>
      <c r="F20" s="6"/>
      <c r="G20" s="7">
        <v>0.8125</v>
      </c>
      <c r="I20" s="9">
        <f t="shared" si="0"/>
        <v>0.49722222222222223</v>
      </c>
      <c r="J20" s="9" t="str">
        <f t="shared" si="1"/>
        <v>-</v>
      </c>
      <c r="K20" s="8" t="e">
        <f t="shared" si="2"/>
        <v>#VALUE!</v>
      </c>
      <c r="L20">
        <v>1.5</v>
      </c>
    </row>
    <row r="21" spans="1:13" x14ac:dyDescent="0.25">
      <c r="A21" s="2">
        <v>17</v>
      </c>
      <c r="B21" s="20">
        <v>25</v>
      </c>
      <c r="C21" s="5" t="s">
        <v>41</v>
      </c>
      <c r="D21" s="6">
        <v>0.31388888888888888</v>
      </c>
      <c r="E21" s="6">
        <v>0.60486111111111118</v>
      </c>
      <c r="F21" s="6"/>
      <c r="G21" s="7">
        <v>0.87777777777777777</v>
      </c>
      <c r="I21" s="9">
        <f t="shared" si="0"/>
        <v>0.56388888888888888</v>
      </c>
      <c r="J21" s="9" t="str">
        <f t="shared" si="1"/>
        <v>-</v>
      </c>
      <c r="K21" s="8" t="e">
        <f t="shared" si="2"/>
        <v>#VALUE!</v>
      </c>
    </row>
    <row r="22" spans="1:13" x14ac:dyDescent="0.25">
      <c r="A22" s="2">
        <v>18</v>
      </c>
      <c r="B22" s="21">
        <v>29</v>
      </c>
      <c r="C22" s="19" t="s">
        <v>19</v>
      </c>
      <c r="D22" s="6">
        <v>0.31111111111111112</v>
      </c>
      <c r="E22" s="6">
        <v>0.58194444444444449</v>
      </c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3" x14ac:dyDescent="0.25">
      <c r="A23" s="2">
        <v>19</v>
      </c>
      <c r="B23" s="20">
        <v>30</v>
      </c>
      <c r="C23" s="5" t="s">
        <v>30</v>
      </c>
      <c r="D23" s="6">
        <v>0.31736111111111115</v>
      </c>
      <c r="E23" s="6">
        <v>0.5131944444444444</v>
      </c>
      <c r="F23" s="6">
        <v>0.58611111111111114</v>
      </c>
      <c r="G23" s="7">
        <v>0.87708333333333333</v>
      </c>
      <c r="I23" s="9">
        <f t="shared" si="0"/>
        <v>0.55972222222222223</v>
      </c>
      <c r="J23" s="9">
        <f t="shared" si="1"/>
        <v>0.48680555555555544</v>
      </c>
      <c r="K23" s="8">
        <f t="shared" si="2"/>
        <v>7.2916666666666796E-2</v>
      </c>
    </row>
    <row r="24" spans="1:13" x14ac:dyDescent="0.25">
      <c r="A24" s="2">
        <v>20</v>
      </c>
      <c r="B24" s="20">
        <v>31</v>
      </c>
      <c r="C24" s="5" t="s">
        <v>14</v>
      </c>
      <c r="D24" s="6">
        <v>0.31875000000000003</v>
      </c>
      <c r="E24" s="6">
        <v>0.5</v>
      </c>
      <c r="F24" s="6">
        <v>0.57847222222222217</v>
      </c>
      <c r="G24" s="7">
        <v>0.87569444444444444</v>
      </c>
      <c r="I24" s="9">
        <f t="shared" si="0"/>
        <v>0.55694444444444446</v>
      </c>
      <c r="J24" s="9">
        <f t="shared" si="1"/>
        <v>0.47847222222222224</v>
      </c>
      <c r="K24" s="8">
        <f t="shared" si="2"/>
        <v>7.8472222222222221E-2</v>
      </c>
    </row>
    <row r="25" spans="1:13" x14ac:dyDescent="0.25">
      <c r="A25" s="2">
        <v>21</v>
      </c>
      <c r="B25" s="21">
        <v>32</v>
      </c>
      <c r="C25" s="19" t="s">
        <v>17</v>
      </c>
      <c r="D25" s="6">
        <v>0.33333333333333331</v>
      </c>
      <c r="E25" s="6">
        <v>0.52569444444444446</v>
      </c>
      <c r="F25" s="6">
        <v>0.58888888888888891</v>
      </c>
      <c r="G25" s="7">
        <v>0.84444444444444444</v>
      </c>
      <c r="I25" s="9">
        <f t="shared" si="0"/>
        <v>0.51111111111111107</v>
      </c>
      <c r="J25" s="9">
        <f t="shared" si="1"/>
        <v>0.44791666666666669</v>
      </c>
      <c r="K25" s="8">
        <f t="shared" si="2"/>
        <v>6.3194444444444386E-2</v>
      </c>
    </row>
    <row r="26" spans="1:13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3" x14ac:dyDescent="0.25">
      <c r="A27" s="2">
        <v>23</v>
      </c>
      <c r="B27" s="20">
        <v>34</v>
      </c>
      <c r="C27" s="18" t="s">
        <v>23</v>
      </c>
      <c r="D27" s="6">
        <v>0.31875000000000003</v>
      </c>
      <c r="E27" s="6"/>
      <c r="F27" s="6"/>
      <c r="G27" s="7">
        <v>0.95694444444444438</v>
      </c>
      <c r="I27" s="9">
        <f t="shared" si="0"/>
        <v>0.63819444444444429</v>
      </c>
      <c r="J27" s="9" t="str">
        <f t="shared" si="1"/>
        <v>-</v>
      </c>
      <c r="K27" s="8" t="e">
        <f t="shared" si="2"/>
        <v>#VALUE!</v>
      </c>
    </row>
    <row r="28" spans="1:13" x14ac:dyDescent="0.25">
      <c r="A28" s="2">
        <v>24</v>
      </c>
      <c r="B28" s="20">
        <v>35</v>
      </c>
      <c r="C28" s="5" t="s">
        <v>5</v>
      </c>
      <c r="D28" s="6">
        <v>0.31666666666666665</v>
      </c>
      <c r="E28" s="6">
        <v>0.67291666666666661</v>
      </c>
      <c r="F28" s="6">
        <v>0.78611111111111109</v>
      </c>
      <c r="G28" s="7">
        <v>0.875</v>
      </c>
      <c r="I28" s="9">
        <f t="shared" si="0"/>
        <v>0.55833333333333335</v>
      </c>
      <c r="J28" s="9">
        <f t="shared" si="1"/>
        <v>0.44513888888888886</v>
      </c>
      <c r="K28" s="8">
        <f t="shared" si="2"/>
        <v>0.11319444444444449</v>
      </c>
      <c r="L28" s="8">
        <v>4.8611111111111112E-2</v>
      </c>
    </row>
    <row r="29" spans="1:13" x14ac:dyDescent="0.25">
      <c r="A29" s="2">
        <v>25</v>
      </c>
      <c r="B29" s="20">
        <v>38</v>
      </c>
      <c r="C29" s="5" t="s">
        <v>57</v>
      </c>
      <c r="D29" s="6">
        <v>0.31111111111111112</v>
      </c>
      <c r="E29" s="6"/>
      <c r="F29" s="6"/>
      <c r="G29" s="7">
        <v>0.91249999999999998</v>
      </c>
      <c r="I29" s="9">
        <f t="shared" si="0"/>
        <v>0.60138888888888886</v>
      </c>
      <c r="J29" s="9" t="str">
        <f t="shared" si="1"/>
        <v>-</v>
      </c>
      <c r="K29" s="8" t="e">
        <f t="shared" si="2"/>
        <v>#VALUE!</v>
      </c>
      <c r="L29" s="8">
        <v>3.8194444444444441E-2</v>
      </c>
    </row>
    <row r="30" spans="1:13" x14ac:dyDescent="0.25">
      <c r="A30" s="2">
        <v>26</v>
      </c>
      <c r="B30" s="20">
        <v>40</v>
      </c>
      <c r="C30" s="5" t="s">
        <v>16</v>
      </c>
      <c r="D30" s="6">
        <v>0.31180555555555556</v>
      </c>
      <c r="E30" s="6">
        <v>0.4861111111111111</v>
      </c>
      <c r="F30" s="6">
        <v>0.55694444444444446</v>
      </c>
      <c r="G30" s="7">
        <v>0.90902777777777777</v>
      </c>
      <c r="I30" s="9">
        <f t="shared" si="0"/>
        <v>0.59722222222222221</v>
      </c>
      <c r="J30" s="9">
        <f t="shared" si="1"/>
        <v>0.5263888888888888</v>
      </c>
      <c r="K30" s="8">
        <f t="shared" si="2"/>
        <v>7.0833333333333415E-2</v>
      </c>
      <c r="L30" s="8">
        <v>3.125E-2</v>
      </c>
      <c r="M30">
        <v>1.5</v>
      </c>
    </row>
    <row r="31" spans="1:13" x14ac:dyDescent="0.25">
      <c r="A31" s="2">
        <v>27</v>
      </c>
      <c r="B31" s="21">
        <v>44</v>
      </c>
      <c r="C31" s="19" t="s">
        <v>20</v>
      </c>
      <c r="D31" s="6">
        <v>0.31180555555555556</v>
      </c>
      <c r="E31" s="6">
        <v>0.52361111111111114</v>
      </c>
      <c r="F31" s="6">
        <v>0.59027777777777779</v>
      </c>
      <c r="G31" s="7">
        <v>0.87291666666666667</v>
      </c>
      <c r="I31" s="9">
        <f t="shared" si="0"/>
        <v>0.56111111111111112</v>
      </c>
      <c r="J31" s="9">
        <f t="shared" si="1"/>
        <v>0.49444444444444446</v>
      </c>
      <c r="K31" s="8">
        <f t="shared" si="2"/>
        <v>6.6666666666666652E-2</v>
      </c>
    </row>
    <row r="32" spans="1:13" x14ac:dyDescent="0.25">
      <c r="A32" s="2">
        <v>28</v>
      </c>
      <c r="B32" s="20">
        <v>56</v>
      </c>
      <c r="C32" s="5" t="s">
        <v>15</v>
      </c>
      <c r="D32" s="6">
        <v>0.31527777777777777</v>
      </c>
      <c r="E32" s="6">
        <v>0.62083333333333335</v>
      </c>
      <c r="F32" s="6">
        <v>0.69236111111111109</v>
      </c>
      <c r="G32" s="7">
        <v>0.87638888888888899</v>
      </c>
      <c r="I32" s="9">
        <f t="shared" si="0"/>
        <v>0.56111111111111123</v>
      </c>
      <c r="J32" s="9">
        <f t="shared" si="1"/>
        <v>0.48958333333333348</v>
      </c>
      <c r="K32" s="8">
        <f t="shared" si="2"/>
        <v>7.1527777777777746E-2</v>
      </c>
    </row>
    <row r="33" spans="1:13" x14ac:dyDescent="0.25">
      <c r="A33" s="2">
        <v>29</v>
      </c>
      <c r="B33" s="21">
        <v>58</v>
      </c>
      <c r="C33" s="19" t="s">
        <v>18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3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69</v>
      </c>
      <c r="C35" s="17" t="s">
        <v>55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0">
        <v>72</v>
      </c>
      <c r="C36" s="17" t="s">
        <v>45</v>
      </c>
      <c r="D36" s="6">
        <v>0.50347222222222221</v>
      </c>
      <c r="E36" s="6"/>
      <c r="F36" s="6"/>
      <c r="G36" s="7">
        <v>0.76597222222222217</v>
      </c>
      <c r="I36" s="9">
        <f t="shared" si="0"/>
        <v>0.26249999999999996</v>
      </c>
      <c r="J36" s="9" t="str">
        <f t="shared" si="1"/>
        <v>-</v>
      </c>
      <c r="K36" s="8" t="e">
        <f t="shared" si="2"/>
        <v>#VALUE!</v>
      </c>
    </row>
    <row r="37" spans="1:13" x14ac:dyDescent="0.25">
      <c r="A37" s="2">
        <v>33</v>
      </c>
      <c r="B37" s="21">
        <v>75</v>
      </c>
      <c r="C37" s="19" t="s">
        <v>34</v>
      </c>
      <c r="D37" s="6">
        <v>0.31388888888888888</v>
      </c>
      <c r="E37" s="6">
        <v>0.57847222222222217</v>
      </c>
      <c r="F37" s="6">
        <v>0.64374999999999993</v>
      </c>
      <c r="G37" s="7">
        <v>0.87430555555555556</v>
      </c>
      <c r="I37" s="9">
        <f t="shared" si="0"/>
        <v>0.56041666666666667</v>
      </c>
      <c r="J37" s="9">
        <f t="shared" si="1"/>
        <v>0.49513888888888891</v>
      </c>
      <c r="K37" s="8">
        <f t="shared" si="2"/>
        <v>6.5277777777777768E-2</v>
      </c>
    </row>
    <row r="38" spans="1:13" x14ac:dyDescent="0.25">
      <c r="A38" s="2">
        <v>34</v>
      </c>
      <c r="B38" s="20">
        <v>76</v>
      </c>
      <c r="C38" s="19" t="s">
        <v>29</v>
      </c>
      <c r="D38" s="6">
        <v>0.5625</v>
      </c>
      <c r="E38" s="6"/>
      <c r="F38" s="6"/>
      <c r="G38" s="7">
        <v>0.87291666666666667</v>
      </c>
      <c r="I38" s="9">
        <f t="shared" si="0"/>
        <v>0.31041666666666667</v>
      </c>
      <c r="J38" s="9" t="str">
        <f t="shared" si="1"/>
        <v>-</v>
      </c>
      <c r="K38" s="8" t="e">
        <f t="shared" si="2"/>
        <v>#VALUE!</v>
      </c>
    </row>
    <row r="39" spans="1:13" x14ac:dyDescent="0.25">
      <c r="A39" s="2">
        <v>35</v>
      </c>
      <c r="B39" s="20">
        <v>77</v>
      </c>
      <c r="C39" s="17" t="s">
        <v>42</v>
      </c>
      <c r="D39" s="6">
        <v>0.56458333333333333</v>
      </c>
      <c r="E39" s="6"/>
      <c r="F39" s="6"/>
      <c r="G39" s="7">
        <v>0.9145833333333333</v>
      </c>
      <c r="I39" s="9">
        <f t="shared" si="0"/>
        <v>0.35</v>
      </c>
      <c r="J39" s="9" t="str">
        <f t="shared" si="1"/>
        <v>-</v>
      </c>
      <c r="K39" s="8" t="e">
        <f t="shared" si="2"/>
        <v>#VALUE!</v>
      </c>
    </row>
    <row r="40" spans="1:13" x14ac:dyDescent="0.25">
      <c r="A40" s="2">
        <v>36</v>
      </c>
      <c r="B40" s="21">
        <v>83</v>
      </c>
      <c r="C40" s="19" t="s">
        <v>31</v>
      </c>
      <c r="D40" s="6">
        <v>0.31527777777777777</v>
      </c>
      <c r="E40" s="6">
        <v>0.7090277777777777</v>
      </c>
      <c r="F40" s="6">
        <v>0.77569444444444446</v>
      </c>
      <c r="G40" s="7">
        <v>0.93472222222222223</v>
      </c>
      <c r="I40" s="9">
        <f t="shared" si="0"/>
        <v>0.61944444444444446</v>
      </c>
      <c r="J40" s="9">
        <f t="shared" si="1"/>
        <v>0.5527777777777777</v>
      </c>
      <c r="K40" s="8">
        <f t="shared" si="2"/>
        <v>6.6666666666666763E-2</v>
      </c>
    </row>
    <row r="41" spans="1:13" x14ac:dyDescent="0.25">
      <c r="A41" s="2">
        <v>37</v>
      </c>
      <c r="B41" s="21">
        <v>87</v>
      </c>
      <c r="C41" s="19" t="s">
        <v>47</v>
      </c>
      <c r="D41" s="6">
        <v>0.31527777777777777</v>
      </c>
      <c r="E41" s="6">
        <v>0.4777777777777778</v>
      </c>
      <c r="F41" s="6"/>
      <c r="G41" s="7">
        <v>0.5444444444444444</v>
      </c>
      <c r="I41" s="9">
        <f t="shared" si="0"/>
        <v>0.22916666666666663</v>
      </c>
      <c r="J41" s="9" t="str">
        <f t="shared" si="1"/>
        <v>-</v>
      </c>
      <c r="K41" s="8" t="e">
        <f t="shared" si="2"/>
        <v>#VALUE!</v>
      </c>
      <c r="M41">
        <v>0.5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0.31597222222222221</v>
      </c>
      <c r="E42" s="6">
        <v>0.67083333333333339</v>
      </c>
      <c r="F42" s="6">
        <v>0.7319444444444444</v>
      </c>
      <c r="G42" s="7">
        <v>0.87916666666666676</v>
      </c>
      <c r="I42" s="9">
        <f t="shared" si="0"/>
        <v>0.56319444444444455</v>
      </c>
      <c r="J42" s="9">
        <f t="shared" si="1"/>
        <v>0.50208333333333355</v>
      </c>
      <c r="K42" s="8">
        <f t="shared" si="2"/>
        <v>6.1111111111111005E-2</v>
      </c>
    </row>
    <row r="43" spans="1:13" x14ac:dyDescent="0.25">
      <c r="A43" s="2">
        <v>39</v>
      </c>
      <c r="B43" s="20">
        <v>91</v>
      </c>
      <c r="C43" s="18" t="s">
        <v>37</v>
      </c>
      <c r="D43" s="6">
        <v>0.44166666666666665</v>
      </c>
      <c r="E43" s="6"/>
      <c r="F43" s="6"/>
      <c r="G43" s="7">
        <v>0.60416666666666663</v>
      </c>
      <c r="I43" s="9">
        <f t="shared" si="0"/>
        <v>0.16249999999999998</v>
      </c>
      <c r="J43" s="9" t="str">
        <f t="shared" si="1"/>
        <v>-</v>
      </c>
      <c r="K43" s="8" t="e">
        <f t="shared" si="2"/>
        <v>#VALUE!</v>
      </c>
    </row>
    <row r="44" spans="1:13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3" x14ac:dyDescent="0.25">
      <c r="A45" s="2">
        <v>41</v>
      </c>
      <c r="B45" s="20">
        <v>99</v>
      </c>
      <c r="C45" s="5" t="s">
        <v>13</v>
      </c>
      <c r="D45" s="6"/>
      <c r="E45" s="6"/>
      <c r="F45" s="6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115</v>
      </c>
      <c r="C46" s="17" t="s">
        <v>38</v>
      </c>
      <c r="D46" s="6">
        <v>0.54375000000000007</v>
      </c>
      <c r="E46" s="1"/>
      <c r="F46" s="1"/>
      <c r="G46" s="7">
        <v>0.9145833333333333</v>
      </c>
      <c r="I46" s="9">
        <f t="shared" si="0"/>
        <v>0.37083333333333324</v>
      </c>
      <c r="J46" s="9" t="str">
        <f t="shared" si="1"/>
        <v>-</v>
      </c>
      <c r="K46" s="8" t="e">
        <f t="shared" si="2"/>
        <v>#VALUE!</v>
      </c>
    </row>
    <row r="47" spans="1:13" x14ac:dyDescent="0.25">
      <c r="A47" s="2">
        <v>43</v>
      </c>
      <c r="B47" s="20">
        <v>117</v>
      </c>
      <c r="C47" s="17" t="s">
        <v>44</v>
      </c>
      <c r="D47" s="6">
        <v>0.54375000000000007</v>
      </c>
      <c r="E47" s="6"/>
      <c r="F47" s="6"/>
      <c r="G47" s="7">
        <v>0.9145833333333333</v>
      </c>
      <c r="I47" s="9">
        <f t="shared" si="0"/>
        <v>0.37083333333333324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0.81388888888888899</v>
      </c>
      <c r="I49" s="9">
        <f t="shared" si="0"/>
        <v>0.50208333333333344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0.31319444444444444</v>
      </c>
      <c r="E51" s="6"/>
      <c r="F51" s="6"/>
      <c r="G51" s="7">
        <v>0.6875</v>
      </c>
      <c r="I51" s="9">
        <f t="shared" si="0"/>
        <v>0.37430555555555556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0.33888888888888885</v>
      </c>
      <c r="E56" s="6">
        <v>0.7104166666666667</v>
      </c>
      <c r="F56" s="6">
        <v>0.77638888888888891</v>
      </c>
      <c r="G56" s="7">
        <v>0.875</v>
      </c>
      <c r="I56" s="9">
        <f t="shared" si="0"/>
        <v>0.5361111111111112</v>
      </c>
      <c r="J56" s="9">
        <f t="shared" si="1"/>
        <v>0.47013888888888894</v>
      </c>
      <c r="K56" s="8">
        <f t="shared" si="2"/>
        <v>6.5972222222222265E-2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0.30833333333333335</v>
      </c>
      <c r="E57" s="6">
        <v>0.54513888888888895</v>
      </c>
      <c r="F57" s="6">
        <v>0.61736111111111114</v>
      </c>
      <c r="G57" s="7">
        <v>0.87569444444444444</v>
      </c>
      <c r="I57" s="9">
        <f t="shared" si="0"/>
        <v>0.56736111111111109</v>
      </c>
      <c r="J57" s="9">
        <f t="shared" si="1"/>
        <v>0.49513888888888891</v>
      </c>
      <c r="K57" s="8">
        <f t="shared" si="2"/>
        <v>7.2222222222222188E-2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0.46458333333333335</v>
      </c>
      <c r="F58" s="6">
        <v>0.52847222222222223</v>
      </c>
      <c r="G58" s="7">
        <v>0.87430555555555556</v>
      </c>
      <c r="I58" s="9">
        <f t="shared" si="0"/>
        <v>0.56180555555555556</v>
      </c>
      <c r="J58" s="9">
        <f t="shared" si="1"/>
        <v>0.49791666666666667</v>
      </c>
      <c r="K58" s="8">
        <f t="shared" si="2"/>
        <v>6.3888888888888884E-2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0.31875000000000003</v>
      </c>
      <c r="E60" s="6"/>
      <c r="F60" s="6"/>
      <c r="G60" s="7">
        <v>0.67291666666666661</v>
      </c>
      <c r="I60" s="9">
        <f t="shared" si="0"/>
        <v>0.35416666666666657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0.31458333333333333</v>
      </c>
      <c r="E61" s="6">
        <v>0.59791666666666665</v>
      </c>
      <c r="F61" s="6">
        <v>0.66111111111111109</v>
      </c>
      <c r="G61" s="7">
        <v>0.87430555555555556</v>
      </c>
      <c r="I61" s="9">
        <f t="shared" si="0"/>
        <v>0.55972222222222223</v>
      </c>
      <c r="J61" s="9">
        <f t="shared" si="1"/>
        <v>0.49652777777777779</v>
      </c>
      <c r="K61" s="8">
        <f t="shared" si="2"/>
        <v>6.3194444444444442E-2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0.31736111111111115</v>
      </c>
      <c r="E63" s="6">
        <v>0.41250000000000003</v>
      </c>
      <c r="F63" s="6">
        <v>0.5756944444444444</v>
      </c>
      <c r="G63" s="7">
        <v>0.87777777777777777</v>
      </c>
      <c r="I63" s="9">
        <f t="shared" si="0"/>
        <v>0.56041666666666656</v>
      </c>
      <c r="J63" s="9">
        <f t="shared" si="1"/>
        <v>0.39722222222222225</v>
      </c>
      <c r="K63" s="8">
        <f t="shared" si="2"/>
        <v>0.16319444444444431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0.31180555555555556</v>
      </c>
      <c r="E64" s="6"/>
      <c r="F64" s="6"/>
      <c r="G64" s="6">
        <v>0.68888888888888899</v>
      </c>
      <c r="I64" s="9">
        <f t="shared" si="0"/>
        <v>0.37708333333333344</v>
      </c>
      <c r="J64" s="9" t="str">
        <f t="shared" si="1"/>
        <v>-</v>
      </c>
      <c r="K64" s="8" t="e">
        <f t="shared" si="2"/>
        <v>#VALUE!</v>
      </c>
    </row>
    <row r="65" spans="1:12" x14ac:dyDescent="0.25">
      <c r="A65" s="2">
        <v>61</v>
      </c>
      <c r="B65" s="20">
        <v>176</v>
      </c>
      <c r="C65" s="19" t="s">
        <v>66</v>
      </c>
      <c r="D65" s="6"/>
      <c r="E65" s="1"/>
      <c r="F65" s="1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2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0.52013888888888882</v>
      </c>
      <c r="E67" s="6"/>
      <c r="F67" s="6"/>
      <c r="G67" s="6">
        <v>0.87430555555555556</v>
      </c>
      <c r="I67" s="9">
        <f t="shared" si="0"/>
        <v>0.35416666666666674</v>
      </c>
      <c r="J67" s="9" t="str">
        <f t="shared" si="1"/>
        <v>-</v>
      </c>
      <c r="K67" s="8" t="e">
        <f t="shared" si="2"/>
        <v>#VALUE!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0.31597222222222221</v>
      </c>
      <c r="E68" s="1"/>
      <c r="F68" s="1"/>
      <c r="G68" s="6">
        <v>0.68125000000000002</v>
      </c>
      <c r="I68" s="9">
        <f t="shared" si="0"/>
        <v>0.36527777777777781</v>
      </c>
      <c r="J68" s="9" t="str">
        <f t="shared" si="1"/>
        <v>-</v>
      </c>
      <c r="K68" s="8" t="e">
        <f t="shared" si="2"/>
        <v>#VALUE!</v>
      </c>
    </row>
    <row r="69" spans="1:12" x14ac:dyDescent="0.25">
      <c r="A69" s="2">
        <v>65</v>
      </c>
      <c r="B69" s="20">
        <v>180</v>
      </c>
      <c r="C69" s="17" t="s">
        <v>72</v>
      </c>
      <c r="D69" s="6"/>
      <c r="E69" s="1"/>
      <c r="F69" s="1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0.32430555555555557</v>
      </c>
      <c r="E70" s="6">
        <v>0.52222222222222225</v>
      </c>
      <c r="F70" s="6">
        <v>0.58680555555555558</v>
      </c>
      <c r="G70" s="6">
        <v>0.87430555555555556</v>
      </c>
      <c r="I70" s="9">
        <f t="shared" ref="I70:I79" si="3">IF(AND(D70 &lt;&gt; "", G70 &lt;&gt; ""), G70 - D70, "-")</f>
        <v>0.55000000000000004</v>
      </c>
      <c r="J70" s="9">
        <f t="shared" ref="J70:J79" si="4">IF(AND(D70 &lt;&gt; "", E70 &lt;&gt; "", F70 &lt;&gt; "", G70 &lt;&gt; ""), (E70 - D70)  + (G70 - F70), "-")</f>
        <v>0.48541666666666666</v>
      </c>
      <c r="K70" s="8">
        <f t="shared" ref="K70:K79" si="5">SUM(I70-J70)</f>
        <v>6.4583333333333381E-2</v>
      </c>
      <c r="L70">
        <v>1.5</v>
      </c>
    </row>
    <row r="71" spans="1:12" x14ac:dyDescent="0.25">
      <c r="A71" s="2">
        <v>67</v>
      </c>
      <c r="B71" s="20">
        <v>182</v>
      </c>
      <c r="C71" s="17" t="s">
        <v>73</v>
      </c>
      <c r="D71" s="6">
        <v>0.51666666666666672</v>
      </c>
      <c r="E71" s="1"/>
      <c r="F71" s="1"/>
      <c r="G71" s="6">
        <v>0.87638888888888899</v>
      </c>
      <c r="I71" s="9">
        <f t="shared" si="3"/>
        <v>0.35972222222222228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0.31597222222222221</v>
      </c>
      <c r="E72" s="35">
        <v>0.6166666666666667</v>
      </c>
      <c r="F72" s="35">
        <v>0.63888888888888895</v>
      </c>
      <c r="G72" s="35">
        <v>0.67569444444444438</v>
      </c>
      <c r="I72" s="9">
        <f t="shared" si="3"/>
        <v>0.35972222222222217</v>
      </c>
      <c r="J72" s="9">
        <f t="shared" si="4"/>
        <v>0.33749999999999991</v>
      </c>
      <c r="K72" s="8">
        <f t="shared" si="5"/>
        <v>2.2222222222222254E-2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0.31597222222222221</v>
      </c>
      <c r="E73" s="6">
        <v>0.67083333333333339</v>
      </c>
      <c r="F73" s="6">
        <v>0.7319444444444444</v>
      </c>
      <c r="G73" s="6">
        <v>0.87916666666666676</v>
      </c>
      <c r="I73" s="9">
        <f t="shared" si="3"/>
        <v>0.56319444444444455</v>
      </c>
      <c r="J73" s="9">
        <f t="shared" si="4"/>
        <v>0.50208333333333355</v>
      </c>
      <c r="K73" s="8">
        <f t="shared" si="5"/>
        <v>6.1111111111111005E-2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0.30833333333333335</v>
      </c>
      <c r="E74" s="1"/>
      <c r="F74" s="1"/>
      <c r="G74" s="6">
        <v>0.6791666666666667</v>
      </c>
      <c r="I74" s="9">
        <f t="shared" si="3"/>
        <v>0.37083333333333335</v>
      </c>
      <c r="J74" s="9" t="str">
        <f t="shared" si="4"/>
        <v>-</v>
      </c>
      <c r="K74" s="8" t="e">
        <f t="shared" si="5"/>
        <v>#VALUE!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17" t="s">
        <v>81</v>
      </c>
      <c r="D77" s="1"/>
      <c r="E77" s="1"/>
      <c r="F77" s="1"/>
      <c r="G77" s="1"/>
      <c r="I77" s="9" t="str">
        <f t="shared" si="3"/>
        <v>-</v>
      </c>
      <c r="J77" s="9" t="str">
        <f t="shared" si="4"/>
        <v>-</v>
      </c>
      <c r="K77" s="8" t="e">
        <f t="shared" si="5"/>
        <v>#VALUE!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127" priority="18">
      <formula>$I5 &lt; TIME(12,0,0)</formula>
    </cfRule>
  </conditionalFormatting>
  <conditionalFormatting sqref="A5:A78 I61:J79">
    <cfRule type="cellIs" dxfId="126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125" priority="4" operator="between">
      <formula>0.333333333333333</formula>
      <formula>0.375</formula>
    </cfRule>
  </conditionalFormatting>
  <conditionalFormatting sqref="D56:G56">
    <cfRule type="cellIs" dxfId="124" priority="14" operator="between">
      <formula>0.875694444444444</formula>
      <formula>0.999305555555556</formula>
    </cfRule>
    <cfRule type="cellIs" dxfId="123" priority="16" operator="between">
      <formula>0.333333333333333</formula>
      <formula>0.375</formula>
    </cfRule>
  </conditionalFormatting>
  <conditionalFormatting sqref="D5:J9">
    <cfRule type="expression" dxfId="122" priority="6">
      <formula>$I5 &lt; TIME(12,0,0)</formula>
    </cfRule>
  </conditionalFormatting>
  <conditionalFormatting sqref="D5:J12">
    <cfRule type="cellIs" dxfId="121" priority="5" operator="between">
      <formula>0.291666666666667</formula>
      <formula>0.315972222222222</formula>
    </cfRule>
  </conditionalFormatting>
  <conditionalFormatting sqref="D13:J53">
    <cfRule type="cellIs" dxfId="120" priority="1" operator="between">
      <formula>0.291666666666667</formula>
      <formula>0.315972222222222</formula>
    </cfRule>
    <cfRule type="expression" dxfId="119" priority="2">
      <formula>$I13 &lt; TIME(12,0,0)</formula>
    </cfRule>
  </conditionalFormatting>
  <conditionalFormatting sqref="D54:J58">
    <cfRule type="cellIs" dxfId="118" priority="15" operator="between">
      <formula>0.291666666666667</formula>
      <formula>0.315972222222222</formula>
    </cfRule>
  </conditionalFormatting>
  <conditionalFormatting sqref="D59:J60">
    <cfRule type="cellIs" dxfId="117" priority="11" operator="between">
      <formula>0.291666666666667</formula>
      <formula>0.315972222222222</formula>
    </cfRule>
    <cfRule type="expression" dxfId="116" priority="12">
      <formula>$I59 &lt; TIME(12,0,0)</formula>
    </cfRule>
  </conditionalFormatting>
  <conditionalFormatting sqref="G10">
    <cfRule type="cellIs" dxfId="115" priority="3" operator="between">
      <formula>0.875694444444444</formula>
      <formula>0.978472222222222</formula>
    </cfRule>
  </conditionalFormatting>
  <conditionalFormatting sqref="G56">
    <cfRule type="cellIs" dxfId="114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FBFF-F728-4068-A99B-4C7B1B03371B}">
  <dimension ref="A2:M79"/>
  <sheetViews>
    <sheetView workbookViewId="0">
      <pane ySplit="3" topLeftCell="A67" activePane="bottomLeft" state="frozen"/>
      <selection pane="bottomLeft" activeCell="G44" sqref="G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30" t="s">
        <v>0</v>
      </c>
      <c r="D3" s="3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0.31458333333333333</v>
      </c>
      <c r="E6" s="6"/>
      <c r="F6" s="6"/>
      <c r="G6" s="7">
        <v>0.87361111111111101</v>
      </c>
      <c r="I6" s="9">
        <f t="shared" ref="I6:I69" si="0">IF(AND(D6 &lt;&gt; "", G6 &lt;&gt; ""), G6 - D6, "-")</f>
        <v>0.55902777777777768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0.31597222222222221</v>
      </c>
      <c r="E7" s="6">
        <v>0.52152777777777781</v>
      </c>
      <c r="F7" s="6">
        <v>0.58750000000000002</v>
      </c>
      <c r="G7" s="7">
        <v>0.88888888888888884</v>
      </c>
      <c r="I7" s="9">
        <f t="shared" si="0"/>
        <v>0.57291666666666663</v>
      </c>
      <c r="J7" s="9">
        <f t="shared" si="1"/>
        <v>0.50694444444444442</v>
      </c>
      <c r="K7" s="8">
        <f t="shared" si="2"/>
        <v>6.597222222222221E-2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0.31041666666666667</v>
      </c>
      <c r="E10" s="6">
        <v>0.52500000000000002</v>
      </c>
      <c r="F10" s="6">
        <v>0.57361111111111118</v>
      </c>
      <c r="G10" s="7">
        <v>0.87430555555555556</v>
      </c>
      <c r="I10" s="9">
        <f t="shared" si="0"/>
        <v>0.56388888888888888</v>
      </c>
      <c r="J10" s="9">
        <f t="shared" si="1"/>
        <v>0.51527777777777772</v>
      </c>
      <c r="K10" s="8">
        <f t="shared" si="2"/>
        <v>4.861111111111116E-2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0.32916666666666666</v>
      </c>
      <c r="E11" s="6">
        <v>0.55486111111111114</v>
      </c>
      <c r="F11" s="6"/>
      <c r="G11" s="7">
        <v>0.85416666666666663</v>
      </c>
      <c r="I11" s="9">
        <f t="shared" si="0"/>
        <v>0.52499999999999991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0.31041666666666667</v>
      </c>
      <c r="E12" s="6">
        <v>0.56180555555555556</v>
      </c>
      <c r="F12" s="6">
        <v>0.62222222222222223</v>
      </c>
      <c r="G12" s="7">
        <v>0.87152777777777779</v>
      </c>
      <c r="I12" s="9">
        <f t="shared" si="0"/>
        <v>0.56111111111111112</v>
      </c>
      <c r="J12" s="9">
        <f t="shared" si="1"/>
        <v>0.50069444444444444</v>
      </c>
      <c r="K12" s="8">
        <f t="shared" si="2"/>
        <v>6.0416666666666674E-2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0.35694444444444445</v>
      </c>
      <c r="E13" s="6"/>
      <c r="F13" s="6"/>
      <c r="G13" s="7">
        <v>0.68888888888888899</v>
      </c>
      <c r="I13" s="9">
        <f t="shared" si="0"/>
        <v>0.33194444444444454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0.5229166666666667</v>
      </c>
      <c r="E14" s="6">
        <v>0.75902777777777775</v>
      </c>
      <c r="F14" s="6">
        <v>0.78194444444444444</v>
      </c>
      <c r="G14" s="7">
        <v>0.87291666666666667</v>
      </c>
      <c r="I14" s="9">
        <f t="shared" si="0"/>
        <v>0.35</v>
      </c>
      <c r="J14" s="9">
        <f t="shared" si="1"/>
        <v>0.32708333333333328</v>
      </c>
      <c r="K14" s="8">
        <f t="shared" si="2"/>
        <v>2.2916666666666696E-2</v>
      </c>
    </row>
    <row r="15" spans="1:11" x14ac:dyDescent="0.25">
      <c r="A15" s="2">
        <v>11</v>
      </c>
      <c r="B15" s="20">
        <v>17</v>
      </c>
      <c r="C15" s="5" t="s">
        <v>54</v>
      </c>
      <c r="D15" s="6"/>
      <c r="E15" s="6"/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0.3125</v>
      </c>
      <c r="E16" s="6">
        <v>0.3576388888888889</v>
      </c>
      <c r="F16" s="6">
        <v>0.46180555555555558</v>
      </c>
      <c r="G16" s="7">
        <v>0.84305555555555556</v>
      </c>
      <c r="I16" s="9">
        <f t="shared" si="0"/>
        <v>0.53055555555555556</v>
      </c>
      <c r="J16" s="9">
        <f t="shared" si="1"/>
        <v>0.42638888888888887</v>
      </c>
      <c r="K16" s="8">
        <f t="shared" si="2"/>
        <v>0.10416666666666669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0.31319444444444444</v>
      </c>
      <c r="E17" s="6">
        <v>0.59236111111111112</v>
      </c>
      <c r="F17" s="6">
        <v>0.65763888888888888</v>
      </c>
      <c r="G17" s="7">
        <v>0.81666666666666676</v>
      </c>
      <c r="I17" s="9">
        <f t="shared" si="0"/>
        <v>0.50347222222222232</v>
      </c>
      <c r="J17" s="9">
        <f t="shared" si="1"/>
        <v>0.43819444444444455</v>
      </c>
      <c r="K17" s="8">
        <f t="shared" si="2"/>
        <v>6.5277777777777768E-2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24</v>
      </c>
      <c r="C20" s="17" t="s">
        <v>40</v>
      </c>
      <c r="D20" s="6">
        <v>0.55833333333333335</v>
      </c>
      <c r="E20" s="6">
        <v>0.63611111111111118</v>
      </c>
      <c r="F20" s="6">
        <v>0.65972222222222221</v>
      </c>
      <c r="G20" s="7">
        <v>0.9194444444444444</v>
      </c>
      <c r="I20" s="9">
        <f t="shared" si="0"/>
        <v>0.36111111111111105</v>
      </c>
      <c r="J20" s="9">
        <f t="shared" si="1"/>
        <v>0.33750000000000002</v>
      </c>
      <c r="K20" s="8">
        <f t="shared" si="2"/>
        <v>2.3611111111111027E-2</v>
      </c>
    </row>
    <row r="21" spans="1:12" x14ac:dyDescent="0.25">
      <c r="A21" s="2">
        <v>17</v>
      </c>
      <c r="B21" s="20">
        <v>25</v>
      </c>
      <c r="C21" s="5" t="s">
        <v>41</v>
      </c>
      <c r="D21" s="6">
        <v>0.31527777777777777</v>
      </c>
      <c r="E21" s="6">
        <v>0.53819444444444442</v>
      </c>
      <c r="F21" s="6">
        <v>0.60416666666666663</v>
      </c>
      <c r="G21" s="7">
        <v>0.87569444444444444</v>
      </c>
      <c r="I21" s="9">
        <f t="shared" si="0"/>
        <v>0.56041666666666667</v>
      </c>
      <c r="J21" s="9">
        <f t="shared" si="1"/>
        <v>0.49444444444444446</v>
      </c>
      <c r="K21" s="8">
        <f t="shared" si="2"/>
        <v>6.597222222222221E-2</v>
      </c>
    </row>
    <row r="22" spans="1:12" x14ac:dyDescent="0.25">
      <c r="A22" s="2">
        <v>18</v>
      </c>
      <c r="B22" s="21">
        <v>29</v>
      </c>
      <c r="C22" s="19" t="s">
        <v>19</v>
      </c>
      <c r="D22" s="6">
        <v>0.31041666666666667</v>
      </c>
      <c r="E22" s="6"/>
      <c r="F22" s="6"/>
      <c r="G22" s="7">
        <v>0.57361111111111118</v>
      </c>
      <c r="I22" s="9">
        <f t="shared" si="0"/>
        <v>0.26319444444444451</v>
      </c>
      <c r="J22" s="9" t="str">
        <f t="shared" si="1"/>
        <v>-</v>
      </c>
      <c r="K22" s="8" t="e">
        <f t="shared" si="2"/>
        <v>#VALUE!</v>
      </c>
      <c r="L22">
        <v>0.5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0.31736111111111115</v>
      </c>
      <c r="E23" s="6">
        <v>0.50208333333333333</v>
      </c>
      <c r="F23" s="6">
        <v>0.57500000000000007</v>
      </c>
      <c r="G23" s="7">
        <v>0.875</v>
      </c>
      <c r="I23" s="9">
        <f t="shared" si="0"/>
        <v>0.5576388888888888</v>
      </c>
      <c r="J23" s="9">
        <f t="shared" si="1"/>
        <v>0.48472222222222211</v>
      </c>
      <c r="K23" s="8">
        <f t="shared" si="2"/>
        <v>7.2916666666666685E-2</v>
      </c>
    </row>
    <row r="24" spans="1:12" x14ac:dyDescent="0.25">
      <c r="A24" s="2">
        <v>20</v>
      </c>
      <c r="B24" s="20">
        <v>31</v>
      </c>
      <c r="C24" s="5" t="s">
        <v>14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1">
        <v>32</v>
      </c>
      <c r="C25" s="19" t="s">
        <v>17</v>
      </c>
      <c r="D25" s="6">
        <v>0.33888888888888885</v>
      </c>
      <c r="E25" s="6">
        <v>0.4777777777777778</v>
      </c>
      <c r="F25" s="6"/>
      <c r="G25" s="7">
        <v>0.8569444444444444</v>
      </c>
      <c r="I25" s="9">
        <f t="shared" si="0"/>
        <v>0.51805555555555549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>
        <v>0.31319444444444444</v>
      </c>
      <c r="E27" s="6">
        <v>0.5444444444444444</v>
      </c>
      <c r="F27" s="6">
        <v>0.61736111111111114</v>
      </c>
      <c r="G27" s="7">
        <v>0.92986111111111114</v>
      </c>
      <c r="I27" s="9">
        <f t="shared" si="0"/>
        <v>0.6166666666666667</v>
      </c>
      <c r="J27" s="9">
        <f t="shared" si="1"/>
        <v>0.54374999999999996</v>
      </c>
      <c r="K27" s="8">
        <f t="shared" si="2"/>
        <v>7.2916666666666741E-2</v>
      </c>
    </row>
    <row r="28" spans="1:12" x14ac:dyDescent="0.25">
      <c r="A28" s="2">
        <v>24</v>
      </c>
      <c r="B28" s="20">
        <v>35</v>
      </c>
      <c r="C28" s="5" t="s">
        <v>5</v>
      </c>
      <c r="D28" s="6">
        <v>0.32083333333333336</v>
      </c>
      <c r="E28" s="6">
        <v>0.62083333333333335</v>
      </c>
      <c r="F28" s="6">
        <v>0.73333333333333339</v>
      </c>
      <c r="G28" s="7">
        <v>0.875</v>
      </c>
      <c r="I28" s="9">
        <f t="shared" si="0"/>
        <v>0.5541666666666667</v>
      </c>
      <c r="J28" s="9">
        <f t="shared" si="1"/>
        <v>0.4416666666666666</v>
      </c>
      <c r="K28" s="8">
        <f t="shared" si="2"/>
        <v>0.1125000000000001</v>
      </c>
      <c r="L28" s="8">
        <v>4.8611111111111112E-2</v>
      </c>
    </row>
    <row r="29" spans="1:12" x14ac:dyDescent="0.25">
      <c r="A29" s="2">
        <v>25</v>
      </c>
      <c r="B29" s="20">
        <v>38</v>
      </c>
      <c r="C29" s="5" t="s">
        <v>57</v>
      </c>
      <c r="D29" s="6">
        <v>0.31041666666666667</v>
      </c>
      <c r="E29" s="6"/>
      <c r="F29" s="6"/>
      <c r="G29" s="7">
        <v>0.89513888888888893</v>
      </c>
      <c r="I29" s="9">
        <f t="shared" si="0"/>
        <v>0.58472222222222225</v>
      </c>
      <c r="J29" s="9" t="str">
        <f t="shared" si="1"/>
        <v>-</v>
      </c>
      <c r="K29" s="8" t="e">
        <f t="shared" si="2"/>
        <v>#VALUE!</v>
      </c>
      <c r="L29" s="8">
        <v>2.0833333333333332E-2</v>
      </c>
    </row>
    <row r="30" spans="1:12" x14ac:dyDescent="0.25">
      <c r="A30" s="2">
        <v>26</v>
      </c>
      <c r="B30" s="20">
        <v>40</v>
      </c>
      <c r="C30" s="5" t="s">
        <v>16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  <c r="L30" s="8"/>
    </row>
    <row r="31" spans="1:12" x14ac:dyDescent="0.25">
      <c r="A31" s="2">
        <v>27</v>
      </c>
      <c r="B31" s="21">
        <v>44</v>
      </c>
      <c r="C31" s="19" t="s">
        <v>20</v>
      </c>
      <c r="D31" s="6">
        <v>0.31111111111111112</v>
      </c>
      <c r="E31" s="6">
        <v>0.51250000000000007</v>
      </c>
      <c r="F31" s="6">
        <v>0.57708333333333328</v>
      </c>
      <c r="G31" s="7">
        <v>0.87430555555555556</v>
      </c>
      <c r="I31" s="9">
        <f t="shared" si="0"/>
        <v>0.56319444444444444</v>
      </c>
      <c r="J31" s="9">
        <f t="shared" si="1"/>
        <v>0.49861111111111123</v>
      </c>
      <c r="K31" s="8">
        <f t="shared" si="2"/>
        <v>6.4583333333333215E-2</v>
      </c>
    </row>
    <row r="32" spans="1:12" x14ac:dyDescent="0.25">
      <c r="A32" s="2">
        <v>28</v>
      </c>
      <c r="B32" s="20">
        <v>56</v>
      </c>
      <c r="C32" s="5" t="s">
        <v>15</v>
      </c>
      <c r="D32" s="6">
        <v>0.31319444444444444</v>
      </c>
      <c r="E32" s="6">
        <v>0.61249999999999993</v>
      </c>
      <c r="F32" s="6"/>
      <c r="G32" s="7">
        <v>0.87152777777777779</v>
      </c>
      <c r="I32" s="9">
        <f t="shared" si="0"/>
        <v>0.55833333333333335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1">
        <v>58</v>
      </c>
      <c r="C33" s="19" t="s">
        <v>18</v>
      </c>
      <c r="D33" s="6">
        <v>0.31180555555555556</v>
      </c>
      <c r="E33" s="6">
        <v>0.66041666666666665</v>
      </c>
      <c r="F33" s="6">
        <v>0.72361111111111109</v>
      </c>
      <c r="G33" s="7">
        <v>0.87222222222222223</v>
      </c>
      <c r="I33" s="9">
        <f t="shared" si="0"/>
        <v>0.56041666666666667</v>
      </c>
      <c r="J33" s="9">
        <f t="shared" si="1"/>
        <v>0.49722222222222223</v>
      </c>
      <c r="K33" s="8">
        <f t="shared" si="2"/>
        <v>6.3194444444444442E-2</v>
      </c>
    </row>
    <row r="34" spans="1:11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69</v>
      </c>
      <c r="C35" s="17" t="s">
        <v>55</v>
      </c>
      <c r="D35" s="6">
        <v>0.40277777777777773</v>
      </c>
      <c r="E35" s="6"/>
      <c r="F35" s="6"/>
      <c r="G35" s="7">
        <v>0.7090277777777777</v>
      </c>
      <c r="I35" s="9">
        <f t="shared" si="0"/>
        <v>0.30624999999999997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0">
        <v>72</v>
      </c>
      <c r="C36" s="17" t="s">
        <v>45</v>
      </c>
      <c r="D36" s="6">
        <v>0.52847222222222223</v>
      </c>
      <c r="E36" s="6"/>
      <c r="F36" s="6"/>
      <c r="G36" s="7">
        <v>0.81666666666666676</v>
      </c>
      <c r="I36" s="9">
        <f t="shared" si="0"/>
        <v>0.28819444444444453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1">
        <v>75</v>
      </c>
      <c r="C37" s="19" t="s">
        <v>34</v>
      </c>
      <c r="D37" s="6">
        <v>0.31319444444444444</v>
      </c>
      <c r="E37" s="6">
        <v>0.59444444444444444</v>
      </c>
      <c r="F37" s="6">
        <v>0.65625</v>
      </c>
      <c r="G37" s="7">
        <v>0.87569444444444444</v>
      </c>
      <c r="I37" s="9">
        <f t="shared" si="0"/>
        <v>0.5625</v>
      </c>
      <c r="J37" s="9">
        <f t="shared" si="1"/>
        <v>0.50069444444444444</v>
      </c>
      <c r="K37" s="8">
        <f t="shared" si="2"/>
        <v>6.1805555555555558E-2</v>
      </c>
    </row>
    <row r="38" spans="1:11" x14ac:dyDescent="0.25">
      <c r="A38" s="2">
        <v>34</v>
      </c>
      <c r="B38" s="20">
        <v>76</v>
      </c>
      <c r="C38" s="19" t="s">
        <v>29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0">
        <v>77</v>
      </c>
      <c r="C39" s="17" t="s">
        <v>42</v>
      </c>
      <c r="D39" s="6">
        <v>0.31319444444444444</v>
      </c>
      <c r="E39" s="6"/>
      <c r="F39" s="6"/>
      <c r="G39" s="7">
        <v>0.67638888888888893</v>
      </c>
      <c r="I39" s="9">
        <f t="shared" si="0"/>
        <v>0.36319444444444449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83</v>
      </c>
      <c r="C40" s="19" t="s">
        <v>31</v>
      </c>
      <c r="D40" s="6">
        <v>0.31527777777777777</v>
      </c>
      <c r="E40" s="6">
        <v>0.50624999999999998</v>
      </c>
      <c r="F40" s="6">
        <v>0.57916666666666672</v>
      </c>
      <c r="G40" s="7">
        <v>0.87083333333333324</v>
      </c>
      <c r="I40" s="9">
        <f t="shared" si="0"/>
        <v>0.55555555555555547</v>
      </c>
      <c r="J40" s="9">
        <f t="shared" si="1"/>
        <v>0.48263888888888873</v>
      </c>
      <c r="K40" s="8">
        <f t="shared" si="2"/>
        <v>7.2916666666666741E-2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0.31527777777777777</v>
      </c>
      <c r="E41" s="6">
        <v>0.41180555555555554</v>
      </c>
      <c r="F41" s="6">
        <v>0.48055555555555557</v>
      </c>
      <c r="G41" s="7">
        <v>0.87083333333333324</v>
      </c>
      <c r="I41" s="9">
        <f t="shared" si="0"/>
        <v>0.55555555555555547</v>
      </c>
      <c r="J41" s="9">
        <f t="shared" si="1"/>
        <v>0.48680555555555544</v>
      </c>
      <c r="K41" s="8">
        <f t="shared" si="2"/>
        <v>6.8750000000000033E-2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0.625</v>
      </c>
      <c r="F42" s="6">
        <v>0.68680555555555556</v>
      </c>
      <c r="G42" s="7">
        <v>0.87569444444444444</v>
      </c>
      <c r="I42" s="9">
        <f t="shared" si="0"/>
        <v>0.56041666666666667</v>
      </c>
      <c r="J42" s="9">
        <f t="shared" si="1"/>
        <v>0.49861111111111112</v>
      </c>
      <c r="K42" s="8">
        <f t="shared" si="2"/>
        <v>6.1805555555555558E-2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0.44375000000000003</v>
      </c>
      <c r="E43" s="6"/>
      <c r="F43" s="6"/>
      <c r="G43" s="7">
        <v>0.96944444444444444</v>
      </c>
      <c r="I43" s="9">
        <f t="shared" si="0"/>
        <v>0.52569444444444446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0">
        <v>99</v>
      </c>
      <c r="C45" s="5" t="s">
        <v>13</v>
      </c>
      <c r="D45" s="6">
        <v>0.32291666666666669</v>
      </c>
      <c r="E45" s="6">
        <v>0.40208333333333335</v>
      </c>
      <c r="F45" s="6">
        <v>0.51527777777777783</v>
      </c>
      <c r="G45" s="7">
        <v>0.88402777777777775</v>
      </c>
      <c r="I45" s="9">
        <f t="shared" si="0"/>
        <v>0.56111111111111112</v>
      </c>
      <c r="J45" s="9">
        <f t="shared" si="1"/>
        <v>0.44791666666666657</v>
      </c>
      <c r="K45" s="8">
        <f t="shared" si="2"/>
        <v>0.11319444444444454</v>
      </c>
    </row>
    <row r="46" spans="1:11" x14ac:dyDescent="0.25">
      <c r="A46" s="2">
        <v>42</v>
      </c>
      <c r="B46" s="21">
        <v>115</v>
      </c>
      <c r="C46" s="17" t="s">
        <v>38</v>
      </c>
      <c r="D46" s="6">
        <v>0.31805555555555554</v>
      </c>
      <c r="E46" s="6">
        <v>0.59166666666666667</v>
      </c>
      <c r="F46" s="6">
        <v>0.61319444444444449</v>
      </c>
      <c r="G46" s="7">
        <v>0.67083333333333339</v>
      </c>
      <c r="I46" s="9">
        <f t="shared" si="0"/>
        <v>0.35277777777777786</v>
      </c>
      <c r="J46" s="9">
        <f t="shared" si="1"/>
        <v>0.33125000000000004</v>
      </c>
      <c r="K46" s="8">
        <f t="shared" si="2"/>
        <v>2.1527777777777812E-2</v>
      </c>
    </row>
    <row r="47" spans="1:11" x14ac:dyDescent="0.25">
      <c r="A47" s="2">
        <v>43</v>
      </c>
      <c r="B47" s="20">
        <v>117</v>
      </c>
      <c r="C47" s="17" t="s">
        <v>44</v>
      </c>
      <c r="D47" s="6">
        <v>0.5625</v>
      </c>
      <c r="E47" s="6"/>
      <c r="F47" s="6"/>
      <c r="G47" s="7">
        <v>0.9194444444444444</v>
      </c>
      <c r="I47" s="9">
        <f t="shared" si="0"/>
        <v>0.3569444444444444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0.31041666666666667</v>
      </c>
      <c r="E49" s="6"/>
      <c r="F49" s="6"/>
      <c r="G49" s="7">
        <v>0.82500000000000007</v>
      </c>
      <c r="I49" s="9">
        <f t="shared" si="0"/>
        <v>0.51458333333333339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>
        <v>0.54722222222222217</v>
      </c>
      <c r="E50" s="6">
        <v>0.64861111111111114</v>
      </c>
      <c r="F50" s="6">
        <v>0.70694444444444438</v>
      </c>
      <c r="G50" s="7">
        <v>0.875</v>
      </c>
      <c r="I50" s="9">
        <f t="shared" si="0"/>
        <v>0.32777777777777783</v>
      </c>
      <c r="J50" s="9">
        <f t="shared" si="1"/>
        <v>0.2694444444444446</v>
      </c>
      <c r="K50" s="8">
        <f t="shared" si="2"/>
        <v>5.8333333333333237E-2</v>
      </c>
    </row>
    <row r="51" spans="1:13" x14ac:dyDescent="0.25">
      <c r="A51" s="2">
        <v>47</v>
      </c>
      <c r="B51" s="20">
        <v>140</v>
      </c>
      <c r="C51" s="19" t="s">
        <v>32</v>
      </c>
      <c r="D51" s="6">
        <v>0.31736111111111115</v>
      </c>
      <c r="E51" s="6"/>
      <c r="F51" s="6"/>
      <c r="G51" s="7">
        <v>0.67361111111111116</v>
      </c>
      <c r="I51" s="9">
        <f t="shared" si="0"/>
        <v>0.35625000000000001</v>
      </c>
      <c r="J51" s="9" t="str">
        <f t="shared" si="1"/>
        <v>-</v>
      </c>
      <c r="K51" s="8" t="e">
        <f t="shared" si="2"/>
        <v>#VALUE!</v>
      </c>
    </row>
    <row r="52" spans="1:13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0.31111111111111112</v>
      </c>
      <c r="E54" s="6">
        <v>0.61249999999999993</v>
      </c>
      <c r="F54" s="6"/>
      <c r="G54" s="7">
        <v>0.68333333333333324</v>
      </c>
      <c r="I54" s="9">
        <f t="shared" si="0"/>
        <v>0.37222222222222212</v>
      </c>
      <c r="J54" s="9" t="str">
        <f t="shared" si="1"/>
        <v>-</v>
      </c>
      <c r="K54" s="8" t="e">
        <f t="shared" si="2"/>
        <v>#VALUE!</v>
      </c>
      <c r="M54">
        <v>0.67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>
        <v>0.31458333333333333</v>
      </c>
      <c r="E56" s="6">
        <v>0.69513888888888886</v>
      </c>
      <c r="F56" s="6">
        <v>0.76527777777777783</v>
      </c>
      <c r="G56" s="7">
        <v>0.87152777777777779</v>
      </c>
      <c r="I56" s="9">
        <f t="shared" si="0"/>
        <v>0.55694444444444446</v>
      </c>
      <c r="J56" s="9">
        <f t="shared" si="1"/>
        <v>0.48680555555555549</v>
      </c>
      <c r="K56" s="8">
        <f t="shared" si="2"/>
        <v>7.0138888888888973E-2</v>
      </c>
    </row>
    <row r="57" spans="1:13" x14ac:dyDescent="0.25">
      <c r="A57" s="2">
        <v>53</v>
      </c>
      <c r="B57" s="21">
        <v>156</v>
      </c>
      <c r="C57" s="19" t="s">
        <v>67</v>
      </c>
      <c r="D57" s="6">
        <v>0.34930555555555554</v>
      </c>
      <c r="E57" s="6">
        <v>0.57986111111111105</v>
      </c>
      <c r="F57" s="6">
        <v>0.65625</v>
      </c>
      <c r="G57" s="7">
        <v>0.87430555555555556</v>
      </c>
      <c r="I57" s="9">
        <f t="shared" si="0"/>
        <v>0.52500000000000002</v>
      </c>
      <c r="J57" s="9">
        <f t="shared" si="1"/>
        <v>0.44861111111111107</v>
      </c>
      <c r="K57" s="8">
        <f t="shared" si="2"/>
        <v>7.6388888888888951E-2</v>
      </c>
    </row>
    <row r="58" spans="1:13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0.50208333333333333</v>
      </c>
      <c r="F58" s="6">
        <v>0.56666666666666665</v>
      </c>
      <c r="G58" s="7">
        <v>0.875</v>
      </c>
      <c r="I58" s="9">
        <f t="shared" si="0"/>
        <v>0.5625</v>
      </c>
      <c r="J58" s="9">
        <f t="shared" si="1"/>
        <v>0.49791666666666667</v>
      </c>
      <c r="K58" s="8">
        <f t="shared" si="2"/>
        <v>6.4583333333333326E-2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>
        <v>0.31666666666666665</v>
      </c>
      <c r="E61" s="6">
        <v>0.57916666666666672</v>
      </c>
      <c r="F61" s="6">
        <v>0.64722222222222225</v>
      </c>
      <c r="G61" s="7">
        <v>0.875</v>
      </c>
      <c r="I61" s="9">
        <f t="shared" si="0"/>
        <v>0.55833333333333335</v>
      </c>
      <c r="J61" s="9">
        <f t="shared" si="1"/>
        <v>0.49027777777777781</v>
      </c>
      <c r="K61" s="8">
        <f t="shared" si="2"/>
        <v>6.8055555555555536E-2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0.31597222222222221</v>
      </c>
      <c r="E63" s="6">
        <v>0.46249999999999997</v>
      </c>
      <c r="F63" s="6">
        <v>0.52430555555555558</v>
      </c>
      <c r="G63" s="7">
        <v>0.87361111111111101</v>
      </c>
      <c r="I63" s="9">
        <f t="shared" si="0"/>
        <v>0.5576388888888888</v>
      </c>
      <c r="J63" s="9">
        <f t="shared" si="1"/>
        <v>0.49583333333333318</v>
      </c>
      <c r="K63" s="8">
        <f t="shared" si="2"/>
        <v>6.1805555555555614E-2</v>
      </c>
    </row>
    <row r="64" spans="1:13" x14ac:dyDescent="0.25">
      <c r="A64" s="2">
        <v>60</v>
      </c>
      <c r="B64" s="20">
        <v>175</v>
      </c>
      <c r="C64" s="17" t="s">
        <v>60</v>
      </c>
      <c r="D64" s="6">
        <v>0.31111111111111112</v>
      </c>
      <c r="E64" s="6"/>
      <c r="F64" s="6"/>
      <c r="G64" s="6">
        <v>0.67013888888888884</v>
      </c>
      <c r="I64" s="9">
        <f t="shared" si="0"/>
        <v>0.35902777777777772</v>
      </c>
      <c r="J64" s="9" t="str">
        <f t="shared" si="1"/>
        <v>-</v>
      </c>
      <c r="K64" s="8" t="e">
        <f t="shared" si="2"/>
        <v>#VALUE!</v>
      </c>
    </row>
    <row r="65" spans="1:12" x14ac:dyDescent="0.25">
      <c r="A65" s="2">
        <v>61</v>
      </c>
      <c r="B65" s="20">
        <v>176</v>
      </c>
      <c r="C65" s="19" t="s">
        <v>66</v>
      </c>
      <c r="D65" s="6"/>
      <c r="E65" s="1"/>
      <c r="F65" s="1"/>
      <c r="G65" s="6"/>
      <c r="I65" s="9" t="str">
        <f t="shared" si="0"/>
        <v>-</v>
      </c>
      <c r="J65" s="9" t="str">
        <f t="shared" si="1"/>
        <v>-</v>
      </c>
      <c r="K65" s="8" t="e">
        <f t="shared" si="2"/>
        <v>#VALUE!</v>
      </c>
    </row>
    <row r="66" spans="1:12" x14ac:dyDescent="0.25">
      <c r="A66" s="2">
        <v>62</v>
      </c>
      <c r="B66" s="20">
        <v>177</v>
      </c>
      <c r="C66" s="17" t="s">
        <v>68</v>
      </c>
      <c r="D66" s="6">
        <v>0.31736111111111115</v>
      </c>
      <c r="E66" s="6"/>
      <c r="F66" s="6"/>
      <c r="G66" s="7">
        <v>0.6743055555555556</v>
      </c>
      <c r="I66" s="9">
        <f t="shared" si="0"/>
        <v>0.35694444444444445</v>
      </c>
      <c r="J66" s="9" t="str">
        <f t="shared" si="1"/>
        <v>-</v>
      </c>
      <c r="K66" s="8" t="e">
        <f t="shared" si="2"/>
        <v>#VALUE!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0.52013888888888882</v>
      </c>
      <c r="E67" s="6">
        <v>0.62638888888888888</v>
      </c>
      <c r="F67" s="6">
        <v>0.64722222222222225</v>
      </c>
      <c r="G67" s="6">
        <v>0.87847222222222221</v>
      </c>
      <c r="I67" s="9">
        <f t="shared" si="0"/>
        <v>0.35833333333333339</v>
      </c>
      <c r="J67" s="9">
        <f t="shared" si="1"/>
        <v>0.33750000000000002</v>
      </c>
      <c r="K67" s="8">
        <f t="shared" si="2"/>
        <v>2.083333333333337E-2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0.5229166666666667</v>
      </c>
      <c r="E68" s="6">
        <v>0.73749999999999993</v>
      </c>
      <c r="F68" s="6">
        <v>0.76111111111111107</v>
      </c>
      <c r="G68" s="6">
        <v>0.8847222222222223</v>
      </c>
      <c r="I68" s="9">
        <f t="shared" si="0"/>
        <v>0.3618055555555556</v>
      </c>
      <c r="J68" s="9">
        <f t="shared" si="1"/>
        <v>0.33819444444444446</v>
      </c>
      <c r="K68" s="8">
        <f t="shared" si="2"/>
        <v>2.3611111111111138E-2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0.5625</v>
      </c>
      <c r="E69" s="1"/>
      <c r="F69" s="1"/>
      <c r="G69" s="6">
        <v>0.91875000000000007</v>
      </c>
      <c r="I69" s="9">
        <f t="shared" si="0"/>
        <v>0.35625000000000007</v>
      </c>
      <c r="J69" s="9" t="str">
        <f t="shared" si="1"/>
        <v>-</v>
      </c>
      <c r="K69" s="8" t="e">
        <f t="shared" si="2"/>
        <v>#VALUE!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0.55625000000000002</v>
      </c>
      <c r="E70" s="6"/>
      <c r="F70" s="6"/>
      <c r="G70" s="6">
        <v>0.92013888888888884</v>
      </c>
      <c r="I70" s="9">
        <f t="shared" ref="I70:I79" si="3">IF(AND(D70 &lt;&gt; "", G70 &lt;&gt; ""), G70 - D70, "-")</f>
        <v>0.36388888888888882</v>
      </c>
      <c r="J70" s="9" t="str">
        <f t="shared" ref="J70:J79" si="4">IF(AND(D70 &lt;&gt; "", E70 &lt;&gt; "", F70 &lt;&gt; "", G70 &lt;&gt; ""), (E70 - D70)  + (G70 - F70), "-")</f>
        <v>-</v>
      </c>
      <c r="K70" s="8" t="e">
        <f t="shared" ref="K70:K79" si="5">SUM(I70-J70)</f>
        <v>#VALUE!</v>
      </c>
    </row>
    <row r="71" spans="1:12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0.31458333333333333</v>
      </c>
      <c r="E72" s="35">
        <v>0.79166666666666663</v>
      </c>
      <c r="F72" s="35">
        <v>0.81319444444444444</v>
      </c>
      <c r="G72" s="35">
        <v>0.8847222222222223</v>
      </c>
      <c r="I72" s="9">
        <f t="shared" si="3"/>
        <v>0.57013888888888897</v>
      </c>
      <c r="J72" s="9">
        <f t="shared" si="4"/>
        <v>0.54861111111111116</v>
      </c>
      <c r="K72" s="8">
        <f t="shared" si="5"/>
        <v>2.1527777777777812E-2</v>
      </c>
      <c r="L72">
        <v>1.5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0.58958333333333335</v>
      </c>
      <c r="F73" s="6">
        <v>0.65138888888888891</v>
      </c>
      <c r="G73" s="6">
        <v>0.87569444444444444</v>
      </c>
      <c r="I73" s="9">
        <f t="shared" si="3"/>
        <v>0.56041666666666667</v>
      </c>
      <c r="J73" s="9">
        <f t="shared" si="4"/>
        <v>0.49861111111111112</v>
      </c>
      <c r="K73" s="8">
        <f t="shared" si="5"/>
        <v>6.1805555555555558E-2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0.30833333333333335</v>
      </c>
      <c r="E74" s="1"/>
      <c r="F74" s="1"/>
      <c r="G74" s="6">
        <v>0.66666666666666663</v>
      </c>
      <c r="I74" s="9">
        <f t="shared" si="3"/>
        <v>0.35833333333333328</v>
      </c>
      <c r="J74" s="9" t="str">
        <f t="shared" si="4"/>
        <v>-</v>
      </c>
      <c r="K74" s="8" t="e">
        <f t="shared" si="5"/>
        <v>#VALUE!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0.31458333333333333</v>
      </c>
      <c r="E77" s="6">
        <v>0.51666666666666672</v>
      </c>
      <c r="F77" s="6">
        <v>0.58402777777777781</v>
      </c>
      <c r="G77" s="6">
        <v>0.88055555555555554</v>
      </c>
      <c r="I77" s="9">
        <f t="shared" si="3"/>
        <v>0.56597222222222221</v>
      </c>
      <c r="J77" s="9">
        <f t="shared" si="4"/>
        <v>0.49861111111111112</v>
      </c>
      <c r="K77" s="8">
        <f t="shared" si="5"/>
        <v>6.7361111111111094E-2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113" priority="20">
      <formula>$I5 &lt; TIME(12,0,0)</formula>
    </cfRule>
  </conditionalFormatting>
  <conditionalFormatting sqref="A5:A78 I61:J79">
    <cfRule type="cellIs" dxfId="112" priority="19" operator="between">
      <formula>0.291666666666667</formula>
      <formula>0.315972222222222</formula>
    </cfRule>
  </conditionalFormatting>
  <conditionalFormatting sqref="C5:C19 C27:C28">
    <cfRule type="expression" priority="9" stopIfTrue="1">
      <formula>COUNTIF($E$1:$E$91,C5)&gt;1</formula>
    </cfRule>
    <cfRule type="expression" priority="10" stopIfTrue="1">
      <formula>COUNTIF($E$1:$E$95,C5)&gt;1</formula>
    </cfRule>
  </conditionalFormatting>
  <conditionalFormatting sqref="C20:C26 C29:C30 C33 C35:C72">
    <cfRule type="expression" priority="21" stopIfTrue="1">
      <formula>COUNTIF($D$1:$D$82,C20)&gt;1</formula>
    </cfRule>
    <cfRule type="expression" priority="22" stopIfTrue="1">
      <formula>COUNTIF($D$1:$D$86,C20)&gt;1</formula>
    </cfRule>
  </conditionalFormatting>
  <conditionalFormatting sqref="C31:C32 C34">
    <cfRule type="expression" priority="23" stopIfTrue="1">
      <formula>COUNTIF($E$1:$E$90,C31)&gt;1</formula>
    </cfRule>
    <cfRule type="expression" priority="24" stopIfTrue="1">
      <formula>COUNTIF($E$1:$E$94,C31)&gt;1</formula>
    </cfRule>
  </conditionalFormatting>
  <conditionalFormatting sqref="C73:C79">
    <cfRule type="expression" priority="11" stopIfTrue="1">
      <formula>COUNTIF($D$7:$D$89,C73)&gt;1</formula>
    </cfRule>
    <cfRule type="expression" priority="12" stopIfTrue="1">
      <formula>COUNTIF($D$7:$D$93,C73)&gt;1</formula>
    </cfRule>
  </conditionalFormatting>
  <conditionalFormatting sqref="D10:G10">
    <cfRule type="cellIs" dxfId="111" priority="6" operator="between">
      <formula>0.333333333333333</formula>
      <formula>0.375</formula>
    </cfRule>
  </conditionalFormatting>
  <conditionalFormatting sqref="D56:G56">
    <cfRule type="cellIs" dxfId="110" priority="16" operator="between">
      <formula>0.875694444444444</formula>
      <formula>0.999305555555556</formula>
    </cfRule>
    <cfRule type="cellIs" dxfId="109" priority="18" operator="between">
      <formula>0.333333333333333</formula>
      <formula>0.375</formula>
    </cfRule>
  </conditionalFormatting>
  <conditionalFormatting sqref="D66:G66">
    <cfRule type="cellIs" dxfId="108" priority="1" operator="between">
      <formula>0.291666666666667</formula>
      <formula>0.315972222222222</formula>
    </cfRule>
    <cfRule type="expression" dxfId="107" priority="2">
      <formula>$I66 &lt; TIME(12,0,0)</formula>
    </cfRule>
  </conditionalFormatting>
  <conditionalFormatting sqref="D5:J9">
    <cfRule type="expression" dxfId="106" priority="8">
      <formula>$I5 &lt; TIME(12,0,0)</formula>
    </cfRule>
  </conditionalFormatting>
  <conditionalFormatting sqref="D5:J12">
    <cfRule type="cellIs" dxfId="105" priority="7" operator="between">
      <formula>0.291666666666667</formula>
      <formula>0.315972222222222</formula>
    </cfRule>
  </conditionalFormatting>
  <conditionalFormatting sqref="D13:J53">
    <cfRule type="cellIs" dxfId="104" priority="3" operator="between">
      <formula>0.291666666666667</formula>
      <formula>0.315972222222222</formula>
    </cfRule>
    <cfRule type="expression" dxfId="103" priority="4">
      <formula>$I13 &lt; TIME(12,0,0)</formula>
    </cfRule>
  </conditionalFormatting>
  <conditionalFormatting sqref="D54:J58">
    <cfRule type="cellIs" dxfId="102" priority="17" operator="between">
      <formula>0.291666666666667</formula>
      <formula>0.315972222222222</formula>
    </cfRule>
  </conditionalFormatting>
  <conditionalFormatting sqref="D59:J60">
    <cfRule type="cellIs" dxfId="101" priority="13" operator="between">
      <formula>0.291666666666667</formula>
      <formula>0.315972222222222</formula>
    </cfRule>
    <cfRule type="expression" dxfId="100" priority="14">
      <formula>$I59 &lt; TIME(12,0,0)</formula>
    </cfRule>
  </conditionalFormatting>
  <conditionalFormatting sqref="G10">
    <cfRule type="cellIs" dxfId="99" priority="5" operator="between">
      <formula>0.875694444444444</formula>
      <formula>0.978472222222222</formula>
    </cfRule>
  </conditionalFormatting>
  <conditionalFormatting sqref="G56">
    <cfRule type="cellIs" dxfId="98" priority="15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3EB3-0C80-4657-8BC0-0DD9ABC2C069}">
  <dimension ref="A2:M79"/>
  <sheetViews>
    <sheetView tabSelected="1" workbookViewId="0">
      <pane ySplit="3" topLeftCell="A58" activePane="bottomLeft" state="frozen"/>
      <selection pane="bottomLeft" activeCell="G50" sqref="G50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3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3" ht="135" x14ac:dyDescent="0.25">
      <c r="A3" s="10"/>
      <c r="B3" s="22"/>
      <c r="C3" s="30" t="s">
        <v>0</v>
      </c>
      <c r="D3" s="30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3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3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3" x14ac:dyDescent="0.25">
      <c r="A6" s="2">
        <v>2</v>
      </c>
      <c r="B6" s="20">
        <v>3</v>
      </c>
      <c r="C6" s="5" t="s">
        <v>24</v>
      </c>
      <c r="D6" s="6">
        <v>0.31597222222222221</v>
      </c>
      <c r="E6" s="6">
        <v>0.53680555555555554</v>
      </c>
      <c r="F6" s="6">
        <v>0.60625000000000007</v>
      </c>
      <c r="G6" s="7">
        <v>0.87708333333333333</v>
      </c>
      <c r="I6" s="9">
        <f t="shared" ref="I6:I69" si="0">IF(AND(D6 &lt;&gt; "", G6 &lt;&gt; ""), G6 - D6, "-")</f>
        <v>0.56111111111111112</v>
      </c>
      <c r="J6" s="9">
        <f t="shared" ref="J6:J69" si="1">IF(AND(D6 &lt;&gt; "", E6 &lt;&gt; "", F6 &lt;&gt; "", G6 &lt;&gt; ""), (E6 - D6)  + (G6 - F6), "-")</f>
        <v>0.49166666666666659</v>
      </c>
      <c r="K6" s="8">
        <f t="shared" ref="K6:K69" si="2">SUM(I6-J6)</f>
        <v>6.9444444444444531E-2</v>
      </c>
    </row>
    <row r="7" spans="1:13" x14ac:dyDescent="0.25">
      <c r="A7" s="2">
        <v>3</v>
      </c>
      <c r="B7" s="20">
        <v>6</v>
      </c>
      <c r="C7" s="19" t="s">
        <v>69</v>
      </c>
      <c r="D7" s="6">
        <v>0.62083333333333335</v>
      </c>
      <c r="E7" s="6"/>
      <c r="F7" s="6"/>
      <c r="G7" s="7">
        <v>0.87847222222222221</v>
      </c>
      <c r="I7" s="9">
        <f t="shared" si="0"/>
        <v>0.25763888888888886</v>
      </c>
      <c r="J7" s="9" t="str">
        <f t="shared" si="1"/>
        <v>-</v>
      </c>
      <c r="K7" s="8" t="e">
        <f t="shared" si="2"/>
        <v>#VALUE!</v>
      </c>
      <c r="M7">
        <v>0.5</v>
      </c>
    </row>
    <row r="8" spans="1:13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3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3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0.4513888888888889</v>
      </c>
      <c r="F10" s="6">
        <v>0.50763888888888886</v>
      </c>
      <c r="G10" s="7">
        <v>0.87361111111111101</v>
      </c>
      <c r="I10" s="9">
        <f t="shared" si="0"/>
        <v>0.56180555555555545</v>
      </c>
      <c r="J10" s="9">
        <f t="shared" si="1"/>
        <v>0.50555555555555554</v>
      </c>
      <c r="K10" s="8">
        <f t="shared" si="2"/>
        <v>5.6249999999999911E-2</v>
      </c>
    </row>
    <row r="11" spans="1:13" x14ac:dyDescent="0.25">
      <c r="A11" s="2">
        <v>7</v>
      </c>
      <c r="B11" s="20">
        <v>12</v>
      </c>
      <c r="C11" s="5" t="s">
        <v>7</v>
      </c>
      <c r="D11" s="6">
        <v>0.33680555555555558</v>
      </c>
      <c r="E11" s="6">
        <v>0.55763888888888891</v>
      </c>
      <c r="F11" s="6">
        <v>0.63194444444444442</v>
      </c>
      <c r="G11" s="7">
        <v>0.86944444444444446</v>
      </c>
      <c r="I11" s="9">
        <f t="shared" si="0"/>
        <v>0.53263888888888888</v>
      </c>
      <c r="J11" s="9">
        <f t="shared" si="1"/>
        <v>0.45833333333333337</v>
      </c>
      <c r="K11" s="8">
        <f t="shared" si="2"/>
        <v>7.4305555555555514E-2</v>
      </c>
    </row>
    <row r="12" spans="1:13" x14ac:dyDescent="0.25">
      <c r="A12" s="2">
        <v>8</v>
      </c>
      <c r="B12" s="20">
        <v>13</v>
      </c>
      <c r="C12" s="19" t="s">
        <v>33</v>
      </c>
      <c r="D12" s="6">
        <v>0.30763888888888891</v>
      </c>
      <c r="E12" s="6">
        <v>0.61111111111111105</v>
      </c>
      <c r="F12" s="6">
        <v>0.66736111111111107</v>
      </c>
      <c r="G12" s="7">
        <v>0.875</v>
      </c>
      <c r="I12" s="9">
        <f t="shared" si="0"/>
        <v>0.56736111111111109</v>
      </c>
      <c r="J12" s="9">
        <f t="shared" si="1"/>
        <v>0.51111111111111107</v>
      </c>
      <c r="K12" s="8">
        <f t="shared" si="2"/>
        <v>5.6250000000000022E-2</v>
      </c>
    </row>
    <row r="13" spans="1:13" x14ac:dyDescent="0.25">
      <c r="A13" s="2">
        <v>9</v>
      </c>
      <c r="B13" s="20">
        <v>14</v>
      </c>
      <c r="C13" s="17" t="s">
        <v>46</v>
      </c>
      <c r="D13" s="6">
        <v>0.3756944444444445</v>
      </c>
      <c r="E13" s="6"/>
      <c r="F13" s="6"/>
      <c r="G13" s="7">
        <v>0.70972222222222225</v>
      </c>
      <c r="I13" s="9">
        <f t="shared" si="0"/>
        <v>0.33402777777777776</v>
      </c>
      <c r="J13" s="9" t="str">
        <f t="shared" si="1"/>
        <v>-</v>
      </c>
      <c r="K13" s="8" t="e">
        <f t="shared" si="2"/>
        <v>#VALUE!</v>
      </c>
    </row>
    <row r="14" spans="1:13" x14ac:dyDescent="0.25">
      <c r="A14" s="2">
        <v>10</v>
      </c>
      <c r="B14" s="20">
        <v>15</v>
      </c>
      <c r="C14" s="17" t="s">
        <v>43</v>
      </c>
      <c r="D14" s="6">
        <v>0.31319444444444444</v>
      </c>
      <c r="E14" s="6"/>
      <c r="F14" s="6"/>
      <c r="G14" s="7">
        <v>0.65555555555555556</v>
      </c>
      <c r="I14" s="9">
        <f t="shared" si="0"/>
        <v>0.34236111111111112</v>
      </c>
      <c r="J14" s="9" t="str">
        <f t="shared" si="1"/>
        <v>-</v>
      </c>
      <c r="K14" s="8" t="e">
        <f t="shared" si="2"/>
        <v>#VALUE!</v>
      </c>
    </row>
    <row r="15" spans="1:13" x14ac:dyDescent="0.25">
      <c r="A15" s="2">
        <v>11</v>
      </c>
      <c r="B15" s="20">
        <v>17</v>
      </c>
      <c r="C15" s="5" t="s">
        <v>54</v>
      </c>
      <c r="D15" s="6">
        <v>0.33194444444444443</v>
      </c>
      <c r="E15" s="6">
        <v>0.47500000000000003</v>
      </c>
      <c r="F15" s="6"/>
      <c r="G15" s="7">
        <v>0.85138888888888886</v>
      </c>
      <c r="I15" s="9">
        <f t="shared" si="0"/>
        <v>0.51944444444444438</v>
      </c>
      <c r="J15" s="9" t="str">
        <f t="shared" si="1"/>
        <v>-</v>
      </c>
      <c r="K15" s="8" t="e">
        <f t="shared" si="2"/>
        <v>#VALUE!</v>
      </c>
    </row>
    <row r="16" spans="1:13" x14ac:dyDescent="0.25">
      <c r="A16" s="2">
        <v>12</v>
      </c>
      <c r="B16" s="20">
        <v>18</v>
      </c>
      <c r="C16" s="5" t="s">
        <v>4</v>
      </c>
      <c r="D16" s="6">
        <v>0.3125</v>
      </c>
      <c r="E16" s="6">
        <v>0.51874999999999993</v>
      </c>
      <c r="F16" s="6">
        <v>0.58611111111111114</v>
      </c>
      <c r="G16" s="7">
        <v>0.87847222222222221</v>
      </c>
      <c r="I16" s="9">
        <f t="shared" si="0"/>
        <v>0.56597222222222221</v>
      </c>
      <c r="J16" s="9">
        <f t="shared" si="1"/>
        <v>0.49861111111111101</v>
      </c>
      <c r="K16" s="8">
        <f t="shared" si="2"/>
        <v>6.7361111111111205E-2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0.3125</v>
      </c>
      <c r="E17" s="6">
        <v>0.64513888888888882</v>
      </c>
      <c r="F17" s="6">
        <v>0.7104166666666667</v>
      </c>
      <c r="G17" s="7">
        <v>0.87430555555555556</v>
      </c>
      <c r="I17" s="9">
        <f t="shared" si="0"/>
        <v>0.56180555555555556</v>
      </c>
      <c r="J17" s="9">
        <f t="shared" si="1"/>
        <v>0.49652777777777768</v>
      </c>
      <c r="K17" s="8">
        <f t="shared" si="2"/>
        <v>6.5277777777777879E-2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24</v>
      </c>
      <c r="C20" s="17" t="s">
        <v>40</v>
      </c>
      <c r="D20" s="6">
        <v>0.56736111111111109</v>
      </c>
      <c r="E20" s="6"/>
      <c r="F20" s="6"/>
      <c r="G20" s="7">
        <v>0.8618055555555556</v>
      </c>
      <c r="I20" s="9">
        <f t="shared" si="0"/>
        <v>0.29444444444444451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0">
        <v>25</v>
      </c>
      <c r="C21" s="5" t="s">
        <v>41</v>
      </c>
      <c r="D21" s="6">
        <v>0.31527777777777777</v>
      </c>
      <c r="E21" s="6">
        <v>0.50416666666666665</v>
      </c>
      <c r="F21" s="6">
        <v>0.58194444444444449</v>
      </c>
      <c r="G21" s="7">
        <v>0.87430555555555556</v>
      </c>
      <c r="I21" s="9">
        <f t="shared" si="0"/>
        <v>0.55902777777777779</v>
      </c>
      <c r="J21" s="9">
        <f t="shared" si="1"/>
        <v>0.48124999999999996</v>
      </c>
      <c r="K21" s="8">
        <f t="shared" si="2"/>
        <v>7.7777777777777835E-2</v>
      </c>
    </row>
    <row r="22" spans="1:12" x14ac:dyDescent="0.25">
      <c r="A22" s="2">
        <v>18</v>
      </c>
      <c r="B22" s="21">
        <v>29</v>
      </c>
      <c r="C22" s="19" t="s">
        <v>19</v>
      </c>
      <c r="D22" s="6">
        <v>0.30902777777777779</v>
      </c>
      <c r="E22" s="6">
        <v>0.55347222222222225</v>
      </c>
      <c r="F22" s="6">
        <v>0.61736111111111114</v>
      </c>
      <c r="G22" s="7">
        <v>0.87569444444444444</v>
      </c>
      <c r="I22" s="9">
        <f t="shared" si="0"/>
        <v>0.56666666666666665</v>
      </c>
      <c r="J22" s="9">
        <f t="shared" si="1"/>
        <v>0.50277777777777777</v>
      </c>
      <c r="K22" s="8">
        <f t="shared" si="2"/>
        <v>6.3888888888888884E-2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0.31875000000000003</v>
      </c>
      <c r="E23" s="6">
        <v>0.49027777777777781</v>
      </c>
      <c r="F23" s="6">
        <v>0.56388888888888888</v>
      </c>
      <c r="G23" s="7">
        <v>0.88750000000000007</v>
      </c>
      <c r="I23" s="9">
        <f t="shared" si="0"/>
        <v>0.56875000000000009</v>
      </c>
      <c r="J23" s="9">
        <f t="shared" si="1"/>
        <v>0.49513888888888896</v>
      </c>
      <c r="K23" s="8">
        <f t="shared" si="2"/>
        <v>7.3611111111111127E-2</v>
      </c>
    </row>
    <row r="24" spans="1:12" x14ac:dyDescent="0.25">
      <c r="A24" s="2">
        <v>20</v>
      </c>
      <c r="B24" s="20">
        <v>31</v>
      </c>
      <c r="C24" s="5" t="s">
        <v>14</v>
      </c>
      <c r="D24" s="6">
        <v>0.31666666666666665</v>
      </c>
      <c r="E24" s="6">
        <v>0.47361111111111115</v>
      </c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1">
        <v>32</v>
      </c>
      <c r="C25" s="19" t="s">
        <v>17</v>
      </c>
      <c r="D25" s="6">
        <v>0.3527777777777778</v>
      </c>
      <c r="E25" s="6">
        <v>0.53680555555555554</v>
      </c>
      <c r="F25" s="6">
        <v>0.59861111111111109</v>
      </c>
      <c r="G25" s="7">
        <v>0.87916666666666676</v>
      </c>
      <c r="I25" s="9">
        <f t="shared" si="0"/>
        <v>0.52638888888888902</v>
      </c>
      <c r="J25" s="9">
        <f t="shared" si="1"/>
        <v>0.4645833333333334</v>
      </c>
      <c r="K25" s="8">
        <f t="shared" si="2"/>
        <v>6.1805555555555614E-2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>
        <v>0.625</v>
      </c>
      <c r="E27" s="6"/>
      <c r="F27" s="6"/>
      <c r="G27" s="7">
        <v>0.92986111111111114</v>
      </c>
      <c r="I27" s="9">
        <f t="shared" si="0"/>
        <v>0.30486111111111114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>
        <v>0.31875000000000003</v>
      </c>
      <c r="E28" s="6">
        <v>0.70833333333333337</v>
      </c>
      <c r="F28" s="6">
        <v>0.81666666666666676</v>
      </c>
      <c r="G28" s="7">
        <v>0.87291666666666667</v>
      </c>
      <c r="I28" s="9">
        <f t="shared" si="0"/>
        <v>0.5541666666666667</v>
      </c>
      <c r="J28" s="9">
        <f t="shared" si="1"/>
        <v>0.44583333333333325</v>
      </c>
      <c r="K28" s="8">
        <f t="shared" si="2"/>
        <v>0.10833333333333345</v>
      </c>
      <c r="L28" s="8">
        <v>4.1666666666666664E-2</v>
      </c>
    </row>
    <row r="29" spans="1:12" x14ac:dyDescent="0.25">
      <c r="A29" s="2">
        <v>25</v>
      </c>
      <c r="B29" s="20">
        <v>38</v>
      </c>
      <c r="C29" s="5" t="s">
        <v>57</v>
      </c>
      <c r="D29" s="6">
        <v>0.31111111111111112</v>
      </c>
      <c r="E29" s="6"/>
      <c r="F29" s="6"/>
      <c r="G29" s="7">
        <v>0.91319444444444453</v>
      </c>
      <c r="I29" s="9">
        <f t="shared" si="0"/>
        <v>0.60208333333333341</v>
      </c>
      <c r="J29" s="9" t="str">
        <f t="shared" si="1"/>
        <v>-</v>
      </c>
      <c r="K29" s="8" t="e">
        <f t="shared" si="2"/>
        <v>#VALUE!</v>
      </c>
      <c r="L29" s="8">
        <v>3.8194444444444441E-2</v>
      </c>
    </row>
    <row r="30" spans="1:12" x14ac:dyDescent="0.25">
      <c r="A30" s="2">
        <v>26</v>
      </c>
      <c r="B30" s="20">
        <v>40</v>
      </c>
      <c r="C30" s="5" t="s">
        <v>16</v>
      </c>
      <c r="D30" s="6">
        <v>0.31666666666666665</v>
      </c>
      <c r="E30" s="6">
        <v>0.57500000000000007</v>
      </c>
      <c r="F30" s="6">
        <v>0.59861111111111109</v>
      </c>
      <c r="G30" s="7">
        <v>0.66666666666666663</v>
      </c>
      <c r="I30" s="9">
        <f t="shared" si="0"/>
        <v>0.35</v>
      </c>
      <c r="J30" s="9">
        <f t="shared" si="1"/>
        <v>0.32638888888888895</v>
      </c>
      <c r="K30" s="8">
        <f t="shared" si="2"/>
        <v>2.3611111111111027E-2</v>
      </c>
      <c r="L30" s="8"/>
    </row>
    <row r="31" spans="1:12" x14ac:dyDescent="0.25">
      <c r="A31" s="2">
        <v>27</v>
      </c>
      <c r="B31" s="21">
        <v>44</v>
      </c>
      <c r="C31" s="19" t="s">
        <v>20</v>
      </c>
      <c r="D31" s="6">
        <v>0.31111111111111112</v>
      </c>
      <c r="E31" s="6">
        <v>0.53888888888888886</v>
      </c>
      <c r="F31" s="6">
        <v>0.60555555555555551</v>
      </c>
      <c r="G31" s="7">
        <v>0.875</v>
      </c>
      <c r="I31" s="9">
        <f t="shared" si="0"/>
        <v>0.56388888888888888</v>
      </c>
      <c r="J31" s="9">
        <f t="shared" si="1"/>
        <v>0.49722222222222223</v>
      </c>
      <c r="K31" s="8">
        <f t="shared" si="2"/>
        <v>6.6666666666666652E-2</v>
      </c>
    </row>
    <row r="32" spans="1:12" x14ac:dyDescent="0.25">
      <c r="A32" s="2">
        <v>28</v>
      </c>
      <c r="B32" s="20">
        <v>56</v>
      </c>
      <c r="C32" s="5" t="s">
        <v>15</v>
      </c>
      <c r="D32" s="6">
        <v>0.31527777777777777</v>
      </c>
      <c r="E32" s="6">
        <v>0.54166666666666663</v>
      </c>
      <c r="F32" s="6">
        <v>0.61041666666666672</v>
      </c>
      <c r="G32" s="7">
        <v>0.87430555555555556</v>
      </c>
      <c r="I32" s="9">
        <f t="shared" si="0"/>
        <v>0.55902777777777779</v>
      </c>
      <c r="J32" s="9">
        <f t="shared" si="1"/>
        <v>0.4902777777777777</v>
      </c>
      <c r="K32" s="8">
        <f t="shared" si="2"/>
        <v>6.8750000000000089E-2</v>
      </c>
    </row>
    <row r="33" spans="1:11" x14ac:dyDescent="0.25">
      <c r="A33" s="2">
        <v>29</v>
      </c>
      <c r="B33" s="21">
        <v>58</v>
      </c>
      <c r="C33" s="19" t="s">
        <v>18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69</v>
      </c>
      <c r="C35" s="17" t="s">
        <v>55</v>
      </c>
      <c r="D35" s="6">
        <v>0.39652777777777781</v>
      </c>
      <c r="E35" s="6"/>
      <c r="F35" s="6"/>
      <c r="G35" s="7">
        <v>0.7104166666666667</v>
      </c>
      <c r="I35" s="9">
        <f t="shared" si="0"/>
        <v>0.31388888888888888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0">
        <v>72</v>
      </c>
      <c r="C36" s="17" t="s">
        <v>45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1">
        <v>75</v>
      </c>
      <c r="C37" s="19" t="s">
        <v>34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1" x14ac:dyDescent="0.25">
      <c r="A38" s="2">
        <v>34</v>
      </c>
      <c r="B38" s="20">
        <v>76</v>
      </c>
      <c r="C38" s="19" t="s">
        <v>29</v>
      </c>
      <c r="D38" s="6">
        <v>0.4291666666666667</v>
      </c>
      <c r="E38" s="6">
        <v>0.69097222222222221</v>
      </c>
      <c r="F38" s="6">
        <v>0.75416666666666676</v>
      </c>
      <c r="G38" s="7">
        <v>0.875</v>
      </c>
      <c r="I38" s="9">
        <f t="shared" si="0"/>
        <v>0.4458333333333333</v>
      </c>
      <c r="J38" s="9">
        <f t="shared" si="1"/>
        <v>0.38263888888888875</v>
      </c>
      <c r="K38" s="8">
        <f t="shared" si="2"/>
        <v>6.3194444444444553E-2</v>
      </c>
    </row>
    <row r="39" spans="1:11" x14ac:dyDescent="0.25">
      <c r="A39" s="2">
        <v>35</v>
      </c>
      <c r="B39" s="20">
        <v>77</v>
      </c>
      <c r="C39" s="17" t="s">
        <v>42</v>
      </c>
      <c r="D39" s="6">
        <v>0.31527777777777777</v>
      </c>
      <c r="E39" s="6">
        <v>0.62986111111111109</v>
      </c>
      <c r="F39" s="6">
        <v>0.65</v>
      </c>
      <c r="G39" s="7">
        <v>0.68333333333333324</v>
      </c>
      <c r="I39" s="9">
        <f t="shared" si="0"/>
        <v>0.36805555555555547</v>
      </c>
      <c r="J39" s="9">
        <f t="shared" si="1"/>
        <v>0.34791666666666654</v>
      </c>
      <c r="K39" s="8">
        <f t="shared" si="2"/>
        <v>2.0138888888888928E-2</v>
      </c>
    </row>
    <row r="40" spans="1:11" x14ac:dyDescent="0.25">
      <c r="A40" s="2">
        <v>36</v>
      </c>
      <c r="B40" s="21">
        <v>83</v>
      </c>
      <c r="C40" s="19" t="s">
        <v>31</v>
      </c>
      <c r="D40" s="6">
        <v>0.39513888888888887</v>
      </c>
      <c r="E40" s="6">
        <v>0.63680555555555551</v>
      </c>
      <c r="F40" s="6">
        <v>0.70416666666666661</v>
      </c>
      <c r="G40" s="7">
        <v>0.875</v>
      </c>
      <c r="I40" s="9">
        <f t="shared" si="0"/>
        <v>0.47986111111111113</v>
      </c>
      <c r="J40" s="9">
        <f t="shared" si="1"/>
        <v>0.41250000000000003</v>
      </c>
      <c r="K40" s="8">
        <f t="shared" si="2"/>
        <v>6.7361111111111094E-2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0.31527777777777777</v>
      </c>
      <c r="E41" s="6">
        <v>0.42222222222222222</v>
      </c>
      <c r="F41" s="6">
        <v>0.49513888888888885</v>
      </c>
      <c r="G41" s="7">
        <v>0.87083333333333324</v>
      </c>
      <c r="I41" s="9">
        <f t="shared" si="0"/>
        <v>0.55555555555555547</v>
      </c>
      <c r="J41" s="9">
        <f t="shared" si="1"/>
        <v>0.48263888888888884</v>
      </c>
      <c r="K41" s="8">
        <f t="shared" si="2"/>
        <v>7.291666666666663E-2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0.31666666666666665</v>
      </c>
      <c r="E42" s="6">
        <v>0.66666666666666663</v>
      </c>
      <c r="F42" s="6">
        <v>0.72916666666666663</v>
      </c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>
        <v>0.98819444444444438</v>
      </c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0">
        <v>99</v>
      </c>
      <c r="C45" s="5" t="s">
        <v>13</v>
      </c>
      <c r="D45" s="6">
        <v>0.31736111111111115</v>
      </c>
      <c r="E45" s="6">
        <v>0.4236111111111111</v>
      </c>
      <c r="F45" s="6">
        <v>0.4993055555555555</v>
      </c>
      <c r="G45" s="7">
        <v>0.89583333333333337</v>
      </c>
      <c r="I45" s="9">
        <f t="shared" si="0"/>
        <v>0.57847222222222228</v>
      </c>
      <c r="J45" s="9">
        <f t="shared" si="1"/>
        <v>0.50277777777777777</v>
      </c>
      <c r="K45" s="8">
        <f t="shared" si="2"/>
        <v>7.5694444444444509E-2</v>
      </c>
    </row>
    <row r="46" spans="1:11" x14ac:dyDescent="0.25">
      <c r="A46" s="2">
        <v>42</v>
      </c>
      <c r="B46" s="21">
        <v>115</v>
      </c>
      <c r="C46" s="17" t="s">
        <v>38</v>
      </c>
      <c r="D46" s="6">
        <v>0.3125</v>
      </c>
      <c r="E46" s="6">
        <v>0.62638888888888888</v>
      </c>
      <c r="F46" s="6">
        <v>0.64930555555555558</v>
      </c>
      <c r="G46" s="7">
        <v>0.66875000000000007</v>
      </c>
      <c r="I46" s="9">
        <f t="shared" si="0"/>
        <v>0.35625000000000007</v>
      </c>
      <c r="J46" s="9">
        <f t="shared" si="1"/>
        <v>0.33333333333333337</v>
      </c>
      <c r="K46" s="8">
        <f t="shared" si="2"/>
        <v>2.2916666666666696E-2</v>
      </c>
    </row>
    <row r="47" spans="1:11" x14ac:dyDescent="0.25">
      <c r="A47" s="2">
        <v>43</v>
      </c>
      <c r="B47" s="20">
        <v>117</v>
      </c>
      <c r="C47" s="17" t="s">
        <v>44</v>
      </c>
      <c r="D47" s="6">
        <v>0.56527777777777777</v>
      </c>
      <c r="E47" s="6"/>
      <c r="F47" s="6"/>
      <c r="G47" s="7">
        <v>0.92986111111111114</v>
      </c>
      <c r="I47" s="9">
        <f t="shared" si="0"/>
        <v>0.36458333333333337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>
        <v>0.31388888888888888</v>
      </c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0.81388888888888899</v>
      </c>
      <c r="I49" s="9">
        <f t="shared" si="0"/>
        <v>0.50208333333333344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>
        <v>0.5444444444444444</v>
      </c>
      <c r="E50" s="6"/>
      <c r="F50" s="6"/>
      <c r="G50" s="7">
        <v>0.87986111111111109</v>
      </c>
      <c r="I50" s="9">
        <f t="shared" si="0"/>
        <v>0.3354166666666667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0.32083333333333336</v>
      </c>
      <c r="E51" s="6"/>
      <c r="F51" s="6"/>
      <c r="G51" s="7">
        <v>0.69861111111111107</v>
      </c>
      <c r="I51" s="9">
        <f t="shared" si="0"/>
        <v>0.37777777777777771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0.31736111111111115</v>
      </c>
      <c r="E52" s="6">
        <v>0.54513888888888895</v>
      </c>
      <c r="F52" s="6">
        <v>0.61527777777777781</v>
      </c>
      <c r="G52" s="7">
        <v>0.87986111111111109</v>
      </c>
      <c r="I52" s="9">
        <f t="shared" si="0"/>
        <v>0.5625</v>
      </c>
      <c r="J52" s="9">
        <f t="shared" si="1"/>
        <v>0.49236111111111108</v>
      </c>
      <c r="K52" s="8">
        <f t="shared" si="2"/>
        <v>7.0138888888888917E-2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0.31388888888888888</v>
      </c>
      <c r="E54" s="6"/>
      <c r="F54" s="6"/>
      <c r="G54" s="7">
        <v>0.87291666666666667</v>
      </c>
      <c r="I54" s="9">
        <f t="shared" si="0"/>
        <v>0.55902777777777779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0.32430555555555557</v>
      </c>
      <c r="E56" s="6">
        <v>0.71111111111111114</v>
      </c>
      <c r="F56" s="6"/>
      <c r="G56" s="7">
        <v>0.87083333333333324</v>
      </c>
      <c r="I56" s="9">
        <f t="shared" si="0"/>
        <v>0.54652777777777772</v>
      </c>
      <c r="J56" s="9" t="str">
        <f t="shared" si="1"/>
        <v>-</v>
      </c>
      <c r="K56" s="8" t="e">
        <f t="shared" si="2"/>
        <v>#VALUE!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0.31319444444444444</v>
      </c>
      <c r="E57" s="6">
        <v>0.61944444444444446</v>
      </c>
      <c r="F57" s="6">
        <v>0.69305555555555554</v>
      </c>
      <c r="G57" s="7">
        <v>0.87569444444444444</v>
      </c>
      <c r="I57" s="9">
        <f t="shared" si="0"/>
        <v>0.5625</v>
      </c>
      <c r="J57" s="9">
        <f t="shared" si="1"/>
        <v>0.48888888888888893</v>
      </c>
      <c r="K57" s="8">
        <f t="shared" si="2"/>
        <v>7.3611111111111072E-2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0.61805555555555558</v>
      </c>
      <c r="F58" s="34">
        <v>2.2785532407407407</v>
      </c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0.33263888888888887</v>
      </c>
      <c r="E60" s="6"/>
      <c r="F60" s="6"/>
      <c r="G60" s="7">
        <v>0.68888888888888899</v>
      </c>
      <c r="I60" s="9">
        <f t="shared" si="0"/>
        <v>0.35625000000000012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>
        <v>0.31388888888888888</v>
      </c>
      <c r="E61" s="6">
        <v>0.67291666666666661</v>
      </c>
      <c r="F61" s="6">
        <v>0.72986111111111107</v>
      </c>
      <c r="G61" s="7">
        <v>0.87916666666666676</v>
      </c>
      <c r="I61" s="9">
        <f t="shared" si="0"/>
        <v>0.56527777777777788</v>
      </c>
      <c r="J61" s="9">
        <f t="shared" si="1"/>
        <v>0.50833333333333341</v>
      </c>
      <c r="K61" s="8">
        <f t="shared" si="2"/>
        <v>5.6944444444444464E-2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0.31875000000000003</v>
      </c>
      <c r="E63" s="6">
        <v>0.4201388888888889</v>
      </c>
      <c r="F63" s="6">
        <v>0.48333333333333334</v>
      </c>
      <c r="G63" s="7">
        <v>0.87708333333333333</v>
      </c>
      <c r="I63" s="9">
        <f t="shared" si="0"/>
        <v>0.55833333333333335</v>
      </c>
      <c r="J63" s="9">
        <f t="shared" si="1"/>
        <v>0.49513888888888885</v>
      </c>
      <c r="K63" s="8">
        <f t="shared" si="2"/>
        <v>6.3194444444444497E-2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0.3125</v>
      </c>
      <c r="E64" s="6"/>
      <c r="F64" s="6"/>
      <c r="G64" s="6">
        <v>0.69374999999999998</v>
      </c>
      <c r="I64" s="9">
        <f t="shared" si="0"/>
        <v>0.38124999999999998</v>
      </c>
      <c r="J64" s="9" t="str">
        <f t="shared" si="1"/>
        <v>-</v>
      </c>
      <c r="K64" s="8" t="e">
        <f t="shared" si="2"/>
        <v>#VALUE!</v>
      </c>
    </row>
    <row r="65" spans="1:13" x14ac:dyDescent="0.25">
      <c r="A65" s="2">
        <v>61</v>
      </c>
      <c r="B65" s="20">
        <v>176</v>
      </c>
      <c r="C65" s="19" t="s">
        <v>66</v>
      </c>
      <c r="D65" s="6">
        <v>0.30902777777777779</v>
      </c>
      <c r="E65" s="6">
        <v>0.51944444444444449</v>
      </c>
      <c r="F65" s="6">
        <v>0.5805555555555556</v>
      </c>
      <c r="G65" s="6">
        <v>0.87083333333333324</v>
      </c>
      <c r="I65" s="9">
        <f t="shared" si="0"/>
        <v>0.56180555555555545</v>
      </c>
      <c r="J65" s="9">
        <f t="shared" si="1"/>
        <v>0.50069444444444433</v>
      </c>
      <c r="K65" s="8">
        <f t="shared" si="2"/>
        <v>6.1111111111111116E-2</v>
      </c>
    </row>
    <row r="66" spans="1:13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3" x14ac:dyDescent="0.25">
      <c r="A67" s="2">
        <v>63</v>
      </c>
      <c r="B67" s="20">
        <v>178</v>
      </c>
      <c r="C67" s="17" t="s">
        <v>70</v>
      </c>
      <c r="D67" s="6">
        <v>0.52013888888888882</v>
      </c>
      <c r="E67" s="6">
        <v>0.66527777777777775</v>
      </c>
      <c r="F67" s="6">
        <v>0.68611111111111101</v>
      </c>
      <c r="G67" s="6">
        <v>0.87430555555555556</v>
      </c>
      <c r="I67" s="9">
        <f t="shared" si="0"/>
        <v>0.35416666666666674</v>
      </c>
      <c r="J67" s="9">
        <f t="shared" si="1"/>
        <v>0.33333333333333348</v>
      </c>
      <c r="K67" s="8">
        <f t="shared" si="2"/>
        <v>2.0833333333333259E-2</v>
      </c>
    </row>
    <row r="68" spans="1:13" x14ac:dyDescent="0.25">
      <c r="A68" s="2">
        <v>64</v>
      </c>
      <c r="B68" s="20">
        <v>179</v>
      </c>
      <c r="C68" s="17" t="s">
        <v>63</v>
      </c>
      <c r="D68" s="6">
        <v>0.51944444444444449</v>
      </c>
      <c r="E68" s="1"/>
      <c r="F68" s="1"/>
      <c r="G68" s="6">
        <v>0.90555555555555556</v>
      </c>
      <c r="I68" s="9">
        <f t="shared" si="0"/>
        <v>0.38611111111111107</v>
      </c>
      <c r="J68" s="9" t="str">
        <f t="shared" si="1"/>
        <v>-</v>
      </c>
      <c r="K68" s="8" t="e">
        <f t="shared" si="2"/>
        <v>#VALUE!</v>
      </c>
    </row>
    <row r="69" spans="1:13" x14ac:dyDescent="0.25">
      <c r="A69" s="2">
        <v>65</v>
      </c>
      <c r="B69" s="20">
        <v>180</v>
      </c>
      <c r="C69" s="17" t="s">
        <v>72</v>
      </c>
      <c r="D69" s="6">
        <v>0.31458333333333333</v>
      </c>
      <c r="E69" s="6">
        <v>0.50347222222222221</v>
      </c>
      <c r="F69" s="6">
        <v>0.5180555555555556</v>
      </c>
      <c r="G69" s="6">
        <v>0.67291666666666661</v>
      </c>
      <c r="I69" s="9">
        <f t="shared" si="0"/>
        <v>0.35833333333333328</v>
      </c>
      <c r="J69" s="9">
        <f t="shared" si="1"/>
        <v>0.34374999999999989</v>
      </c>
      <c r="K69" s="8">
        <f t="shared" si="2"/>
        <v>1.4583333333333393E-2</v>
      </c>
    </row>
    <row r="70" spans="1:13" x14ac:dyDescent="0.25">
      <c r="A70" s="2">
        <v>66</v>
      </c>
      <c r="B70" s="20">
        <v>181</v>
      </c>
      <c r="C70" s="17" t="s">
        <v>71</v>
      </c>
      <c r="D70" s="6">
        <v>0.30763888888888891</v>
      </c>
      <c r="E70" s="6"/>
      <c r="F70" s="6"/>
      <c r="G70" s="6">
        <v>0.92986111111111114</v>
      </c>
      <c r="I70" s="9">
        <f t="shared" ref="I70:I79" si="3">IF(AND(D70 &lt;&gt; "", G70 &lt;&gt; ""), G70 - D70, "-")</f>
        <v>0.62222222222222223</v>
      </c>
      <c r="J70" s="9" t="str">
        <f t="shared" ref="J70:J79" si="4">IF(AND(D70 &lt;&gt; "", E70 &lt;&gt; "", F70 &lt;&gt; "", G70 &lt;&gt; ""), (E70 - D70)  + (G70 - F70), "-")</f>
        <v>-</v>
      </c>
      <c r="K70" s="8" t="e">
        <f t="shared" ref="K70:K79" si="5">SUM(I70-J70)</f>
        <v>#VALUE!</v>
      </c>
    </row>
    <row r="71" spans="1:13" x14ac:dyDescent="0.25">
      <c r="A71" s="2">
        <v>67</v>
      </c>
      <c r="B71" s="20">
        <v>182</v>
      </c>
      <c r="C71" s="17" t="s">
        <v>73</v>
      </c>
      <c r="D71" s="6">
        <v>0.52083333333333337</v>
      </c>
      <c r="E71" s="1"/>
      <c r="F71" s="1"/>
      <c r="G71" s="6">
        <v>0.87430555555555556</v>
      </c>
      <c r="I71" s="9">
        <f t="shared" si="3"/>
        <v>0.35347222222222219</v>
      </c>
      <c r="J71" s="9" t="str">
        <f t="shared" si="4"/>
        <v>-</v>
      </c>
      <c r="K71" s="8" t="e">
        <f t="shared" si="5"/>
        <v>#VALUE!</v>
      </c>
    </row>
    <row r="72" spans="1:13" x14ac:dyDescent="0.25">
      <c r="A72" s="2">
        <v>68</v>
      </c>
      <c r="B72" s="23">
        <v>183</v>
      </c>
      <c r="C72" s="24" t="s">
        <v>74</v>
      </c>
      <c r="D72" s="25"/>
      <c r="E72" s="25"/>
      <c r="F72" s="25"/>
      <c r="G72" s="25"/>
      <c r="I72" s="9" t="str">
        <f t="shared" si="3"/>
        <v>-</v>
      </c>
      <c r="J72" s="9" t="str">
        <f t="shared" si="4"/>
        <v>-</v>
      </c>
      <c r="K72" s="8" t="e">
        <f t="shared" si="5"/>
        <v>#VALUE!</v>
      </c>
    </row>
    <row r="73" spans="1:13" x14ac:dyDescent="0.25">
      <c r="A73" s="2">
        <v>69</v>
      </c>
      <c r="B73" s="21">
        <v>185</v>
      </c>
      <c r="C73" s="32" t="s">
        <v>75</v>
      </c>
      <c r="D73" s="6">
        <v>0.31736111111111115</v>
      </c>
      <c r="E73" s="6">
        <v>0.65069444444444446</v>
      </c>
      <c r="F73" s="6">
        <v>0.71388888888888891</v>
      </c>
      <c r="G73" s="6">
        <v>0.87638888888888899</v>
      </c>
      <c r="I73" s="9">
        <f t="shared" si="3"/>
        <v>0.5590277777777779</v>
      </c>
      <c r="J73" s="9">
        <f t="shared" si="4"/>
        <v>0.4958333333333334</v>
      </c>
      <c r="K73" s="8">
        <f t="shared" si="5"/>
        <v>6.3194444444444497E-2</v>
      </c>
    </row>
    <row r="74" spans="1:13" x14ac:dyDescent="0.25">
      <c r="A74" s="2">
        <v>70</v>
      </c>
      <c r="B74" s="21">
        <v>187</v>
      </c>
      <c r="C74" s="17" t="s">
        <v>76</v>
      </c>
      <c r="D74" s="6">
        <v>0.30624999999999997</v>
      </c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3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3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3" x14ac:dyDescent="0.25">
      <c r="A77" s="2">
        <v>73</v>
      </c>
      <c r="B77" s="21">
        <v>190</v>
      </c>
      <c r="C77" s="32" t="s">
        <v>81</v>
      </c>
      <c r="D77" s="6">
        <v>0.60625000000000007</v>
      </c>
      <c r="E77" s="1"/>
      <c r="F77" s="1"/>
      <c r="G77" s="6">
        <v>0.82013888888888886</v>
      </c>
      <c r="I77" s="9">
        <f t="shared" si="3"/>
        <v>0.2138888888888888</v>
      </c>
      <c r="J77" s="9" t="str">
        <f t="shared" si="4"/>
        <v>-</v>
      </c>
      <c r="K77" s="8" t="e">
        <f t="shared" si="5"/>
        <v>#VALUE!</v>
      </c>
      <c r="M77">
        <v>0.5</v>
      </c>
    </row>
    <row r="78" spans="1:13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3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97" priority="18">
      <formula>$I5 &lt; TIME(12,0,0)</formula>
    </cfRule>
  </conditionalFormatting>
  <conditionalFormatting sqref="A5:A78 I61:J79">
    <cfRule type="cellIs" dxfId="96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95" priority="4" operator="between">
      <formula>0.333333333333333</formula>
      <formula>0.375</formula>
    </cfRule>
  </conditionalFormatting>
  <conditionalFormatting sqref="D56:G56">
    <cfRule type="cellIs" dxfId="94" priority="14" operator="between">
      <formula>0.875694444444444</formula>
      <formula>0.999305555555556</formula>
    </cfRule>
    <cfRule type="cellIs" dxfId="93" priority="16" operator="between">
      <formula>0.333333333333333</formula>
      <formula>0.375</formula>
    </cfRule>
  </conditionalFormatting>
  <conditionalFormatting sqref="D5:J9">
    <cfRule type="expression" dxfId="92" priority="6">
      <formula>$I5 &lt; TIME(12,0,0)</formula>
    </cfRule>
  </conditionalFormatting>
  <conditionalFormatting sqref="D5:J12">
    <cfRule type="cellIs" dxfId="91" priority="5" operator="between">
      <formula>0.291666666666667</formula>
      <formula>0.315972222222222</formula>
    </cfRule>
  </conditionalFormatting>
  <conditionalFormatting sqref="D13:J53">
    <cfRule type="cellIs" dxfId="90" priority="1" operator="between">
      <formula>0.291666666666667</formula>
      <formula>0.315972222222222</formula>
    </cfRule>
    <cfRule type="expression" dxfId="89" priority="2">
      <formula>$I13 &lt; TIME(12,0,0)</formula>
    </cfRule>
  </conditionalFormatting>
  <conditionalFormatting sqref="D54:J58">
    <cfRule type="cellIs" dxfId="88" priority="15" operator="between">
      <formula>0.291666666666667</formula>
      <formula>0.315972222222222</formula>
    </cfRule>
  </conditionalFormatting>
  <conditionalFormatting sqref="D59:J60">
    <cfRule type="cellIs" dxfId="87" priority="11" operator="between">
      <formula>0.291666666666667</formula>
      <formula>0.315972222222222</formula>
    </cfRule>
    <cfRule type="expression" dxfId="86" priority="12">
      <formula>$I59 &lt; TIME(12,0,0)</formula>
    </cfRule>
  </conditionalFormatting>
  <conditionalFormatting sqref="G10">
    <cfRule type="cellIs" dxfId="85" priority="3" operator="between">
      <formula>0.875694444444444</formula>
      <formula>0.978472222222222</formula>
    </cfRule>
  </conditionalFormatting>
  <conditionalFormatting sqref="G56">
    <cfRule type="cellIs" dxfId="84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8752-8E82-49E2-968B-893ACC3C0DCB}">
  <dimension ref="A2:L79"/>
  <sheetViews>
    <sheetView workbookViewId="0">
      <pane ySplit="3" topLeftCell="A64" activePane="bottomLeft" state="frozen"/>
      <selection pane="bottomLeft" activeCell="F44" sqref="F4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29" t="s">
        <v>0</v>
      </c>
      <c r="D3" s="29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0.31805555555555554</v>
      </c>
      <c r="E6" s="6">
        <v>0.42430555555555555</v>
      </c>
      <c r="F6" s="6">
        <v>0.48749999999999999</v>
      </c>
      <c r="G6" s="7">
        <v>0.87361111111111101</v>
      </c>
      <c r="I6" s="9">
        <f t="shared" ref="I6:I69" si="0">IF(AND(D6 &lt;&gt; "", G6 &lt;&gt; ""), G6 - D6, "-")</f>
        <v>0.55555555555555547</v>
      </c>
      <c r="J6" s="9">
        <f t="shared" ref="J6:J69" si="1">IF(AND(D6 &lt;&gt; "", E6 &lt;&gt; "", F6 &lt;&gt; "", G6 &lt;&gt; ""), (E6 - D6)  + (G6 - F6), "-")</f>
        <v>0.49236111111111103</v>
      </c>
      <c r="K6" s="8">
        <f t="shared" ref="K6:K69" si="2">SUM(I6-J6)</f>
        <v>6.3194444444444442E-2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0.50138888888888888</v>
      </c>
      <c r="F10" s="6">
        <v>0.55833333333333335</v>
      </c>
      <c r="G10" s="7">
        <v>0.87430555555555556</v>
      </c>
      <c r="I10" s="9">
        <f t="shared" si="0"/>
        <v>0.5625</v>
      </c>
      <c r="J10" s="9">
        <f t="shared" si="1"/>
        <v>0.50555555555555554</v>
      </c>
      <c r="K10" s="8">
        <f t="shared" si="2"/>
        <v>5.6944444444444464E-2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0.34027777777777773</v>
      </c>
      <c r="E11" s="6">
        <v>0.56666666666666665</v>
      </c>
      <c r="F11" s="6">
        <v>0.63263888888888886</v>
      </c>
      <c r="G11" s="7">
        <v>0.84583333333333333</v>
      </c>
      <c r="I11" s="9">
        <f t="shared" si="0"/>
        <v>0.50555555555555554</v>
      </c>
      <c r="J11" s="9">
        <f t="shared" si="1"/>
        <v>0.43958333333333338</v>
      </c>
      <c r="K11" s="8">
        <f t="shared" si="2"/>
        <v>6.5972222222222154E-2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0.31041666666666667</v>
      </c>
      <c r="E12" s="6">
        <v>0.48333333333333334</v>
      </c>
      <c r="F12" s="6">
        <v>0.55555555555555558</v>
      </c>
      <c r="G12" s="7">
        <v>0.90902777777777777</v>
      </c>
      <c r="I12" s="9">
        <f t="shared" si="0"/>
        <v>0.59861111111111109</v>
      </c>
      <c r="J12" s="9">
        <f t="shared" si="1"/>
        <v>0.5263888888888888</v>
      </c>
      <c r="K12" s="8">
        <f t="shared" si="2"/>
        <v>7.2222222222222299E-2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0.55625000000000002</v>
      </c>
      <c r="E14" s="6">
        <v>0.6166666666666667</v>
      </c>
      <c r="F14" s="6"/>
      <c r="G14" s="7">
        <v>0.87152777777777779</v>
      </c>
      <c r="I14" s="9">
        <f t="shared" si="0"/>
        <v>0.31527777777777777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0.33402777777777781</v>
      </c>
      <c r="E15" s="6">
        <v>0.5083333333333333</v>
      </c>
      <c r="F15" s="6">
        <v>0.6069444444444444</v>
      </c>
      <c r="G15" s="7">
        <v>0.8340277777777777</v>
      </c>
      <c r="I15" s="9">
        <f t="shared" si="0"/>
        <v>0.49999999999999989</v>
      </c>
      <c r="J15" s="9">
        <f t="shared" si="1"/>
        <v>0.4013888888888888</v>
      </c>
      <c r="K15" s="8">
        <f t="shared" si="2"/>
        <v>9.8611111111111094E-2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7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/>
      <c r="E19" s="6"/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24</v>
      </c>
      <c r="C20" s="17" t="s">
        <v>40</v>
      </c>
      <c r="D20" s="6">
        <v>0.32083333333333336</v>
      </c>
      <c r="E20" s="6">
        <v>0.42708333333333331</v>
      </c>
      <c r="F20" s="6">
        <v>0.4909722222222222</v>
      </c>
      <c r="G20" s="7">
        <v>0.88680555555555562</v>
      </c>
      <c r="I20" s="9">
        <f t="shared" si="0"/>
        <v>0.56597222222222232</v>
      </c>
      <c r="J20" s="9">
        <f t="shared" si="1"/>
        <v>0.50208333333333344</v>
      </c>
      <c r="K20" s="8">
        <f t="shared" si="2"/>
        <v>6.3888888888888884E-2</v>
      </c>
      <c r="L20">
        <v>1.5</v>
      </c>
    </row>
    <row r="21" spans="1:12" x14ac:dyDescent="0.25">
      <c r="A21" s="2">
        <v>17</v>
      </c>
      <c r="B21" s="20">
        <v>25</v>
      </c>
      <c r="C21" s="5" t="s">
        <v>41</v>
      </c>
      <c r="D21" s="6">
        <v>0.31597222222222221</v>
      </c>
      <c r="E21" s="6">
        <v>0.49861111111111112</v>
      </c>
      <c r="F21" s="6">
        <v>0.57847222222222217</v>
      </c>
      <c r="G21" s="7">
        <v>0.87430555555555556</v>
      </c>
      <c r="I21" s="9">
        <f t="shared" si="0"/>
        <v>0.55833333333333335</v>
      </c>
      <c r="J21" s="9">
        <f t="shared" si="1"/>
        <v>0.4784722222222223</v>
      </c>
      <c r="K21" s="8">
        <f t="shared" si="2"/>
        <v>7.9861111111111049E-2</v>
      </c>
    </row>
    <row r="22" spans="1:12" x14ac:dyDescent="0.25">
      <c r="A22" s="2">
        <v>18</v>
      </c>
      <c r="B22" s="21">
        <v>29</v>
      </c>
      <c r="C22" s="19" t="s">
        <v>19</v>
      </c>
      <c r="D22" s="6">
        <v>0.31111111111111112</v>
      </c>
      <c r="E22" s="6"/>
      <c r="F22" s="6"/>
      <c r="G22" s="7">
        <v>0.87777777777777777</v>
      </c>
      <c r="I22" s="9">
        <f t="shared" si="0"/>
        <v>0.56666666666666665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0.31875000000000003</v>
      </c>
      <c r="E23" s="6">
        <v>0.57638888888888895</v>
      </c>
      <c r="F23" s="6">
        <v>0.64930555555555558</v>
      </c>
      <c r="G23" s="7">
        <v>0.88124999999999998</v>
      </c>
      <c r="I23" s="9">
        <f t="shared" si="0"/>
        <v>0.5625</v>
      </c>
      <c r="J23" s="9">
        <f t="shared" si="1"/>
        <v>0.48958333333333331</v>
      </c>
      <c r="K23" s="8">
        <f t="shared" si="2"/>
        <v>7.2916666666666685E-2</v>
      </c>
    </row>
    <row r="24" spans="1:12" x14ac:dyDescent="0.25">
      <c r="A24" s="2">
        <v>20</v>
      </c>
      <c r="B24" s="20">
        <v>31</v>
      </c>
      <c r="C24" s="5" t="s">
        <v>14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1">
        <v>32</v>
      </c>
      <c r="C25" s="19" t="s">
        <v>17</v>
      </c>
      <c r="D25" s="6">
        <v>0.3215277777777778</v>
      </c>
      <c r="E25" s="6">
        <v>0.4291666666666667</v>
      </c>
      <c r="F25" s="6">
        <v>0.49861111111111112</v>
      </c>
      <c r="G25" s="7">
        <v>0.87222222222222223</v>
      </c>
      <c r="I25" s="9">
        <f t="shared" si="0"/>
        <v>0.55069444444444438</v>
      </c>
      <c r="J25" s="9">
        <f t="shared" si="1"/>
        <v>0.48125000000000001</v>
      </c>
      <c r="K25" s="8">
        <f t="shared" si="2"/>
        <v>6.9444444444444364E-2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/>
      <c r="E27" s="6"/>
      <c r="F27" s="6"/>
      <c r="G27" s="26"/>
      <c r="I27" s="9" t="str">
        <f t="shared" si="0"/>
        <v>-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/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38</v>
      </c>
      <c r="C29" s="5" t="s">
        <v>57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0">
        <v>40</v>
      </c>
      <c r="C30" s="5" t="s">
        <v>16</v>
      </c>
      <c r="D30" s="6">
        <v>0.32222222222222224</v>
      </c>
      <c r="E30" s="6"/>
      <c r="F30" s="6"/>
      <c r="G30" s="7">
        <v>0.90694444444444444</v>
      </c>
      <c r="I30" s="9">
        <f t="shared" si="0"/>
        <v>0.58472222222222214</v>
      </c>
      <c r="J30" s="9" t="str">
        <f t="shared" si="1"/>
        <v>-</v>
      </c>
      <c r="K30" s="8" t="e">
        <f t="shared" si="2"/>
        <v>#VALUE!</v>
      </c>
      <c r="L30" s="8">
        <v>3.125E-2</v>
      </c>
    </row>
    <row r="31" spans="1:12" x14ac:dyDescent="0.25">
      <c r="A31" s="2">
        <v>27</v>
      </c>
      <c r="B31" s="21">
        <v>44</v>
      </c>
      <c r="C31" s="19" t="s">
        <v>20</v>
      </c>
      <c r="D31" s="6">
        <v>0.31180555555555556</v>
      </c>
      <c r="E31" s="6">
        <v>0.57013888888888886</v>
      </c>
      <c r="F31" s="6">
        <v>0.63750000000000007</v>
      </c>
      <c r="G31" s="7">
        <v>0.875</v>
      </c>
      <c r="I31" s="9">
        <f t="shared" si="0"/>
        <v>0.56319444444444444</v>
      </c>
      <c r="J31" s="9">
        <f t="shared" si="1"/>
        <v>0.49583333333333324</v>
      </c>
      <c r="K31" s="8">
        <f t="shared" si="2"/>
        <v>6.7361111111111205E-2</v>
      </c>
    </row>
    <row r="32" spans="1:12" x14ac:dyDescent="0.25">
      <c r="A32" s="2">
        <v>28</v>
      </c>
      <c r="B32" s="20">
        <v>56</v>
      </c>
      <c r="C32" s="5" t="s">
        <v>15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1">
        <v>58</v>
      </c>
      <c r="C33" s="19" t="s">
        <v>18</v>
      </c>
      <c r="D33" s="6">
        <v>0.31319444444444444</v>
      </c>
      <c r="E33" s="6">
        <v>0.49861111111111112</v>
      </c>
      <c r="F33" s="6">
        <v>0.56805555555555554</v>
      </c>
      <c r="G33" s="7">
        <v>0.87013888888888891</v>
      </c>
      <c r="I33" s="9">
        <f t="shared" si="0"/>
        <v>0.55694444444444446</v>
      </c>
      <c r="J33" s="9">
        <f t="shared" si="1"/>
        <v>0.48750000000000004</v>
      </c>
      <c r="K33" s="8">
        <f t="shared" si="2"/>
        <v>6.944444444444442E-2</v>
      </c>
    </row>
    <row r="34" spans="1:11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69</v>
      </c>
      <c r="C35" s="17" t="s">
        <v>55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0">
        <v>72</v>
      </c>
      <c r="C36" s="17" t="s">
        <v>45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1">
        <v>75</v>
      </c>
      <c r="C37" s="19" t="s">
        <v>34</v>
      </c>
      <c r="D37" s="6">
        <v>0.31458333333333333</v>
      </c>
      <c r="E37" s="6">
        <v>0.57361111111111118</v>
      </c>
      <c r="F37" s="6">
        <v>0.63680555555555551</v>
      </c>
      <c r="G37" s="7">
        <v>0.87222222222222223</v>
      </c>
      <c r="I37" s="9">
        <f t="shared" si="0"/>
        <v>0.55763888888888891</v>
      </c>
      <c r="J37" s="9">
        <f t="shared" si="1"/>
        <v>0.49444444444444458</v>
      </c>
      <c r="K37" s="8">
        <f t="shared" si="2"/>
        <v>6.3194444444444331E-2</v>
      </c>
    </row>
    <row r="38" spans="1:11" x14ac:dyDescent="0.25">
      <c r="A38" s="2">
        <v>34</v>
      </c>
      <c r="B38" s="20">
        <v>76</v>
      </c>
      <c r="C38" s="19" t="s">
        <v>29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0">
        <v>77</v>
      </c>
      <c r="C39" s="17" t="s">
        <v>42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83</v>
      </c>
      <c r="C40" s="19" t="s">
        <v>31</v>
      </c>
      <c r="D40" s="6">
        <v>0.31527777777777777</v>
      </c>
      <c r="E40" s="6">
        <v>0.65625</v>
      </c>
      <c r="F40" s="6">
        <v>0.73055555555555562</v>
      </c>
      <c r="G40" s="7">
        <v>0.87222222222222223</v>
      </c>
      <c r="I40" s="9">
        <f t="shared" si="0"/>
        <v>0.55694444444444446</v>
      </c>
      <c r="J40" s="9">
        <f t="shared" si="1"/>
        <v>0.48263888888888884</v>
      </c>
      <c r="K40" s="8">
        <f t="shared" si="2"/>
        <v>7.4305555555555625E-2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0.31597222222222221</v>
      </c>
      <c r="E42" s="6">
        <v>0.68958333333333333</v>
      </c>
      <c r="F42" s="6">
        <v>0.75208333333333333</v>
      </c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0.3125</v>
      </c>
      <c r="E43" s="6">
        <v>0.43333333333333335</v>
      </c>
      <c r="F43" s="6">
        <v>0.67083333333333339</v>
      </c>
      <c r="G43" s="7">
        <v>0.94930555555555562</v>
      </c>
      <c r="I43" s="9">
        <f t="shared" si="0"/>
        <v>0.63680555555555562</v>
      </c>
      <c r="J43" s="9">
        <f t="shared" si="1"/>
        <v>0.39930555555555558</v>
      </c>
      <c r="K43" s="8">
        <f t="shared" si="2"/>
        <v>0.23750000000000004</v>
      </c>
    </row>
    <row r="44" spans="1:11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0">
        <v>99</v>
      </c>
      <c r="C45" s="5" t="s">
        <v>13</v>
      </c>
      <c r="D45" s="6">
        <v>0.31597222222222221</v>
      </c>
      <c r="E45" s="6">
        <v>0.50416666666666665</v>
      </c>
      <c r="F45" s="6">
        <v>0.57222222222222219</v>
      </c>
      <c r="G45" s="7">
        <v>0.88680555555555562</v>
      </c>
      <c r="I45" s="9">
        <f t="shared" si="0"/>
        <v>0.57083333333333341</v>
      </c>
      <c r="J45" s="9">
        <f t="shared" si="1"/>
        <v>0.50277777777777788</v>
      </c>
      <c r="K45" s="8">
        <f t="shared" si="2"/>
        <v>6.8055555555555536E-2</v>
      </c>
    </row>
    <row r="46" spans="1:11" x14ac:dyDescent="0.25">
      <c r="A46" s="2">
        <v>42</v>
      </c>
      <c r="B46" s="21">
        <v>115</v>
      </c>
      <c r="C46" s="17" t="s">
        <v>38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2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2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2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2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2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2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2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2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2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2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0.50069444444444444</v>
      </c>
      <c r="F58" s="6">
        <v>0.56458333333333333</v>
      </c>
      <c r="G58" s="7">
        <v>0.87291666666666667</v>
      </c>
      <c r="I58" s="9">
        <f t="shared" si="0"/>
        <v>0.56041666666666667</v>
      </c>
      <c r="J58" s="9">
        <f t="shared" si="1"/>
        <v>0.49652777777777779</v>
      </c>
      <c r="K58" s="8">
        <f t="shared" si="2"/>
        <v>6.3888888888888884E-2</v>
      </c>
    </row>
    <row r="59" spans="1:12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2" x14ac:dyDescent="0.25">
      <c r="A60" s="2">
        <v>56</v>
      </c>
      <c r="B60" s="20">
        <v>160</v>
      </c>
      <c r="C60" s="17" t="s">
        <v>59</v>
      </c>
      <c r="D60" s="6">
        <v>0.32013888888888892</v>
      </c>
      <c r="E60" s="6"/>
      <c r="F60" s="6"/>
      <c r="G60" s="7">
        <v>0.67847222222222225</v>
      </c>
      <c r="I60" s="9">
        <f t="shared" si="0"/>
        <v>0.35833333333333334</v>
      </c>
      <c r="J60" s="9" t="str">
        <f t="shared" si="1"/>
        <v>-</v>
      </c>
      <c r="K60" s="8" t="e">
        <f t="shared" si="2"/>
        <v>#VALUE!</v>
      </c>
    </row>
    <row r="61" spans="1:12" x14ac:dyDescent="0.25">
      <c r="A61" s="2">
        <v>57</v>
      </c>
      <c r="B61" s="21">
        <v>161</v>
      </c>
      <c r="C61" s="19" t="s">
        <v>61</v>
      </c>
      <c r="D61" s="6">
        <v>0.31597222222222221</v>
      </c>
      <c r="E61" s="6"/>
      <c r="F61" s="6">
        <v>0.7104166666666667</v>
      </c>
      <c r="G61" s="7">
        <v>0.87291666666666667</v>
      </c>
      <c r="I61" s="9">
        <f t="shared" si="0"/>
        <v>0.55694444444444446</v>
      </c>
      <c r="J61" s="9" t="str">
        <f t="shared" si="1"/>
        <v>-</v>
      </c>
      <c r="K61" s="8" t="e">
        <f t="shared" si="2"/>
        <v>#VALUE!</v>
      </c>
    </row>
    <row r="62" spans="1:12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2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2" x14ac:dyDescent="0.25">
      <c r="A64" s="2">
        <v>60</v>
      </c>
      <c r="B64" s="20">
        <v>175</v>
      </c>
      <c r="C64" s="17" t="s">
        <v>60</v>
      </c>
      <c r="D64" s="6">
        <v>0.31319444444444444</v>
      </c>
      <c r="E64" s="6">
        <v>0.57222222222222219</v>
      </c>
      <c r="F64" s="6">
        <v>0.63263888888888886</v>
      </c>
      <c r="G64" s="6">
        <v>0.87291666666666667</v>
      </c>
      <c r="I64" s="9">
        <f t="shared" si="0"/>
        <v>0.55972222222222223</v>
      </c>
      <c r="J64" s="9">
        <f t="shared" si="1"/>
        <v>0.49930555555555556</v>
      </c>
      <c r="K64" s="8">
        <f t="shared" si="2"/>
        <v>6.0416666666666674E-2</v>
      </c>
      <c r="L64">
        <v>1.5</v>
      </c>
    </row>
    <row r="65" spans="1:12" x14ac:dyDescent="0.25">
      <c r="A65" s="2">
        <v>61</v>
      </c>
      <c r="B65" s="20">
        <v>176</v>
      </c>
      <c r="C65" s="19" t="s">
        <v>66</v>
      </c>
      <c r="D65" s="6">
        <v>0.31111111111111112</v>
      </c>
      <c r="E65" s="6">
        <v>0.47361111111111115</v>
      </c>
      <c r="F65" s="6">
        <v>0.54027777777777775</v>
      </c>
      <c r="G65" s="6">
        <v>0.87013888888888891</v>
      </c>
      <c r="I65" s="9">
        <f t="shared" si="0"/>
        <v>0.55902777777777779</v>
      </c>
      <c r="J65" s="9">
        <f t="shared" si="1"/>
        <v>0.49236111111111119</v>
      </c>
      <c r="K65" s="8">
        <f t="shared" si="2"/>
        <v>6.6666666666666596E-2</v>
      </c>
    </row>
    <row r="66" spans="1:12" x14ac:dyDescent="0.25">
      <c r="A66" s="2">
        <v>62</v>
      </c>
      <c r="B66" s="20">
        <v>177</v>
      </c>
      <c r="C66" s="17" t="s">
        <v>68</v>
      </c>
      <c r="D66" s="6">
        <v>0.32083333333333336</v>
      </c>
      <c r="E66" s="6">
        <v>0.62152777777777779</v>
      </c>
      <c r="F66" s="6">
        <v>0.68125000000000002</v>
      </c>
      <c r="G66" s="6">
        <v>0.87777777777777777</v>
      </c>
      <c r="I66" s="9">
        <f t="shared" si="0"/>
        <v>0.55694444444444446</v>
      </c>
      <c r="J66" s="9">
        <f t="shared" si="1"/>
        <v>0.49722222222222218</v>
      </c>
      <c r="K66" s="8">
        <f t="shared" si="2"/>
        <v>5.9722222222222288E-2</v>
      </c>
      <c r="L66">
        <v>1.5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0.31319444444444444</v>
      </c>
      <c r="E67" s="6">
        <v>0.52986111111111112</v>
      </c>
      <c r="F67" s="6">
        <v>0.54652777777777783</v>
      </c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0.31805555555555554</v>
      </c>
      <c r="E68" s="6">
        <v>0.70694444444444438</v>
      </c>
      <c r="F68" s="6">
        <v>0.77013888888888893</v>
      </c>
      <c r="G68" s="6">
        <v>0.8881944444444444</v>
      </c>
      <c r="I68" s="9">
        <f t="shared" si="0"/>
        <v>0.57013888888888886</v>
      </c>
      <c r="J68" s="9">
        <f t="shared" si="1"/>
        <v>0.50694444444444431</v>
      </c>
      <c r="K68" s="8">
        <f t="shared" si="2"/>
        <v>6.3194444444444553E-2</v>
      </c>
      <c r="L68">
        <v>1.5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0.5229166666666667</v>
      </c>
      <c r="E69" s="6">
        <v>0.60138888888888886</v>
      </c>
      <c r="F69" s="6">
        <v>0.62013888888888891</v>
      </c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0.32083333333333336</v>
      </c>
      <c r="E70" s="6">
        <v>0.49652777777777773</v>
      </c>
      <c r="F70" s="6">
        <v>0.56180555555555556</v>
      </c>
      <c r="G70" s="6">
        <v>0.87291666666666667</v>
      </c>
      <c r="I70" s="9">
        <f t="shared" ref="I70:I79" si="3">IF(AND(D70 &lt;&gt; "", G70 &lt;&gt; ""), G70 - D70, "-")</f>
        <v>0.55208333333333326</v>
      </c>
      <c r="J70" s="9">
        <f t="shared" ref="J70:J79" si="4">IF(AND(D70 &lt;&gt; "", E70 &lt;&gt; "", F70 &lt;&gt; "", G70 &lt;&gt; ""), (E70 - D70)  + (G70 - F70), "-")</f>
        <v>0.48680555555555549</v>
      </c>
      <c r="K70" s="8">
        <f t="shared" ref="K70:K79" si="5">SUM(I70-J70)</f>
        <v>6.5277777777777768E-2</v>
      </c>
    </row>
    <row r="71" spans="1:12" x14ac:dyDescent="0.25">
      <c r="A71" s="2">
        <v>67</v>
      </c>
      <c r="B71" s="20">
        <v>182</v>
      </c>
      <c r="C71" s="17" t="s">
        <v>73</v>
      </c>
      <c r="D71" s="6">
        <v>0.52638888888888891</v>
      </c>
      <c r="E71" s="1"/>
      <c r="F71" s="1"/>
      <c r="G71" s="6">
        <v>0.87777777777777777</v>
      </c>
      <c r="I71" s="9">
        <f t="shared" si="3"/>
        <v>0.35138888888888886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0.31805555555555554</v>
      </c>
      <c r="E72" s="35">
        <v>0.70694444444444438</v>
      </c>
      <c r="F72" s="35">
        <v>0.77013888888888893</v>
      </c>
      <c r="G72" s="35">
        <v>0.88958333333333339</v>
      </c>
      <c r="I72" s="9">
        <f t="shared" si="3"/>
        <v>0.57152777777777786</v>
      </c>
      <c r="J72" s="9">
        <f t="shared" si="4"/>
        <v>0.5083333333333333</v>
      </c>
      <c r="K72" s="8">
        <f t="shared" si="5"/>
        <v>6.3194444444444553E-2</v>
      </c>
      <c r="L72">
        <v>1.5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0.31597222222222221</v>
      </c>
      <c r="E73" s="6">
        <v>0.62638888888888888</v>
      </c>
      <c r="F73" s="6">
        <v>0.68611111111111101</v>
      </c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0.30624999999999997</v>
      </c>
      <c r="E74" s="6">
        <v>0.53333333333333333</v>
      </c>
      <c r="F74" s="6">
        <v>0.59722222222222221</v>
      </c>
      <c r="G74" s="6">
        <v>0.87708333333333333</v>
      </c>
      <c r="I74" s="9">
        <f t="shared" si="3"/>
        <v>0.5708333333333333</v>
      </c>
      <c r="J74" s="9">
        <f t="shared" si="4"/>
        <v>0.50694444444444442</v>
      </c>
      <c r="K74" s="8">
        <f t="shared" si="5"/>
        <v>6.3888888888888884E-2</v>
      </c>
      <c r="L74">
        <v>1.5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0.31805555555555554</v>
      </c>
      <c r="E77" s="6">
        <v>0.58680555555555558</v>
      </c>
      <c r="F77" s="6">
        <v>0.64583333333333337</v>
      </c>
      <c r="G77" s="6">
        <v>0.87291666666666667</v>
      </c>
      <c r="I77" s="9">
        <f t="shared" si="3"/>
        <v>0.55486111111111114</v>
      </c>
      <c r="J77" s="9">
        <f t="shared" si="4"/>
        <v>0.49583333333333335</v>
      </c>
      <c r="K77" s="8">
        <f t="shared" si="5"/>
        <v>5.902777777777779E-2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83" priority="18">
      <formula>$I5 &lt; TIME(12,0,0)</formula>
    </cfRule>
  </conditionalFormatting>
  <conditionalFormatting sqref="A5:A78 I61:J79">
    <cfRule type="cellIs" dxfId="82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81" priority="4" operator="between">
      <formula>0.333333333333333</formula>
      <formula>0.375</formula>
    </cfRule>
  </conditionalFormatting>
  <conditionalFormatting sqref="D56:G56">
    <cfRule type="cellIs" dxfId="80" priority="14" operator="between">
      <formula>0.875694444444444</formula>
      <formula>0.999305555555556</formula>
    </cfRule>
    <cfRule type="cellIs" dxfId="79" priority="16" operator="between">
      <formula>0.333333333333333</formula>
      <formula>0.375</formula>
    </cfRule>
  </conditionalFormatting>
  <conditionalFormatting sqref="D5:J9">
    <cfRule type="expression" dxfId="78" priority="6">
      <formula>$I5 &lt; TIME(12,0,0)</formula>
    </cfRule>
  </conditionalFormatting>
  <conditionalFormatting sqref="D5:J12">
    <cfRule type="cellIs" dxfId="77" priority="5" operator="between">
      <formula>0.291666666666667</formula>
      <formula>0.315972222222222</formula>
    </cfRule>
  </conditionalFormatting>
  <conditionalFormatting sqref="D13:J53">
    <cfRule type="cellIs" dxfId="76" priority="1" operator="between">
      <formula>0.291666666666667</formula>
      <formula>0.315972222222222</formula>
    </cfRule>
    <cfRule type="expression" dxfId="75" priority="2">
      <formula>$I13 &lt; TIME(12,0,0)</formula>
    </cfRule>
  </conditionalFormatting>
  <conditionalFormatting sqref="D54:J58">
    <cfRule type="cellIs" dxfId="74" priority="15" operator="between">
      <formula>0.291666666666667</formula>
      <formula>0.315972222222222</formula>
    </cfRule>
  </conditionalFormatting>
  <conditionalFormatting sqref="D59:J60">
    <cfRule type="cellIs" dxfId="73" priority="11" operator="between">
      <formula>0.291666666666667</formula>
      <formula>0.315972222222222</formula>
    </cfRule>
    <cfRule type="expression" dxfId="72" priority="12">
      <formula>$I59 &lt; TIME(12,0,0)</formula>
    </cfRule>
  </conditionalFormatting>
  <conditionalFormatting sqref="G10">
    <cfRule type="cellIs" dxfId="71" priority="3" operator="between">
      <formula>0.875694444444444</formula>
      <formula>0.978472222222222</formula>
    </cfRule>
  </conditionalFormatting>
  <conditionalFormatting sqref="G56">
    <cfRule type="cellIs" dxfId="70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5087-99E2-4170-97B6-7FB22E6C63F4}">
  <dimension ref="A2:L79"/>
  <sheetViews>
    <sheetView workbookViewId="0">
      <pane ySplit="3" topLeftCell="A34" activePane="bottomLeft" state="frozen"/>
      <selection pane="bottomLeft" activeCell="G74" sqref="G7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28" t="s">
        <v>0</v>
      </c>
      <c r="D3" s="28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0.31736111111111115</v>
      </c>
      <c r="E6" s="6">
        <v>0.48472222222222222</v>
      </c>
      <c r="F6" s="6">
        <v>0.55347222222222225</v>
      </c>
      <c r="G6" s="7">
        <v>0.87569444444444444</v>
      </c>
      <c r="I6" s="9">
        <f t="shared" ref="I6:I69" si="0">IF(AND(D6 &lt;&gt; "", G6 &lt;&gt; ""), G6 - D6, "-")</f>
        <v>0.55833333333333335</v>
      </c>
      <c r="J6" s="9">
        <f t="shared" ref="J6:J69" si="1">IF(AND(D6 &lt;&gt; "", E6 &lt;&gt; "", F6 &lt;&gt; "", G6 &lt;&gt; ""), (E6 - D6)  + (G6 - F6), "-")</f>
        <v>0.48958333333333326</v>
      </c>
      <c r="K6" s="8">
        <f t="shared" ref="K6:K69" si="2">SUM(I6-J6)</f>
        <v>6.8750000000000089E-2</v>
      </c>
    </row>
    <row r="7" spans="1:11" x14ac:dyDescent="0.25">
      <c r="A7" s="2">
        <v>3</v>
      </c>
      <c r="B7" s="20">
        <v>6</v>
      </c>
      <c r="C7" s="19" t="s">
        <v>69</v>
      </c>
      <c r="D7" s="6"/>
      <c r="E7" s="6"/>
      <c r="F7" s="6"/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0.56458333333333333</v>
      </c>
      <c r="F10" s="6">
        <v>0.63124999999999998</v>
      </c>
      <c r="G10" s="7">
        <v>0.87083333333333324</v>
      </c>
      <c r="I10" s="9">
        <f t="shared" si="0"/>
        <v>0.55902777777777768</v>
      </c>
      <c r="J10" s="9">
        <f t="shared" si="1"/>
        <v>0.49236111111111103</v>
      </c>
      <c r="K10" s="8">
        <f t="shared" si="2"/>
        <v>6.6666666666666652E-2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0.33124999999999999</v>
      </c>
      <c r="E11" s="6">
        <v>0.51736111111111105</v>
      </c>
      <c r="F11" s="6">
        <v>0.5854166666666667</v>
      </c>
      <c r="G11" s="7">
        <v>0.85486111111111107</v>
      </c>
      <c r="I11" s="9">
        <f t="shared" si="0"/>
        <v>0.52361111111111103</v>
      </c>
      <c r="J11" s="9">
        <f t="shared" si="1"/>
        <v>0.45555555555555544</v>
      </c>
      <c r="K11" s="8">
        <f t="shared" si="2"/>
        <v>6.8055555555555591E-2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0.30277777777777776</v>
      </c>
      <c r="E12" s="6">
        <v>0.53888888888888886</v>
      </c>
      <c r="F12" s="6">
        <v>0.59930555555555554</v>
      </c>
      <c r="G12" s="7">
        <v>0.90902777777777777</v>
      </c>
      <c r="I12" s="9">
        <f t="shared" si="0"/>
        <v>0.60624999999999996</v>
      </c>
      <c r="J12" s="9">
        <f t="shared" si="1"/>
        <v>0.54583333333333339</v>
      </c>
      <c r="K12" s="8">
        <f t="shared" si="2"/>
        <v>6.0416666666666563E-2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0.31666666666666665</v>
      </c>
      <c r="E14" s="6">
        <v>0.53541666666666665</v>
      </c>
      <c r="F14" s="6">
        <v>0.59513888888888888</v>
      </c>
      <c r="G14" s="7">
        <v>0.87291666666666667</v>
      </c>
      <c r="I14" s="9">
        <f t="shared" si="0"/>
        <v>0.55625000000000002</v>
      </c>
      <c r="J14" s="9">
        <f t="shared" si="1"/>
        <v>0.49652777777777779</v>
      </c>
      <c r="K14" s="8">
        <f t="shared" si="2"/>
        <v>5.9722222222222232E-2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0.34236111111111112</v>
      </c>
      <c r="E15" s="6">
        <v>0.51736111111111105</v>
      </c>
      <c r="F15" s="6"/>
      <c r="G15" s="7">
        <v>0.81736111111111109</v>
      </c>
      <c r="I15" s="9">
        <f t="shared" si="0"/>
        <v>0.47499999999999998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/>
      <c r="E16" s="6"/>
      <c r="F16" s="6"/>
      <c r="G16" s="7"/>
      <c r="I16" s="9" t="str">
        <f t="shared" si="0"/>
        <v>-</v>
      </c>
      <c r="J16" s="9" t="str">
        <f t="shared" si="1"/>
        <v>-</v>
      </c>
      <c r="K16" s="8" t="e">
        <f t="shared" si="2"/>
        <v>#VALUE!</v>
      </c>
    </row>
    <row r="17" spans="1:12" x14ac:dyDescent="0.25">
      <c r="A17" s="2">
        <v>13</v>
      </c>
      <c r="B17" s="20">
        <v>19</v>
      </c>
      <c r="C17" s="19" t="s">
        <v>27</v>
      </c>
      <c r="D17" s="6"/>
      <c r="E17" s="6"/>
      <c r="F17" s="6"/>
      <c r="G17" s="7"/>
      <c r="I17" s="9" t="str">
        <f t="shared" si="0"/>
        <v>-</v>
      </c>
      <c r="J17" s="9" t="str">
        <f t="shared" si="1"/>
        <v>-</v>
      </c>
      <c r="K17" s="8" t="e">
        <f t="shared" si="2"/>
        <v>#VALUE!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>
        <v>0.3125</v>
      </c>
      <c r="E19" s="6">
        <v>0.59097222222222223</v>
      </c>
      <c r="F19" s="6">
        <v>0.64374999999999993</v>
      </c>
      <c r="G19" s="7">
        <v>0.85625000000000007</v>
      </c>
      <c r="I19" s="9">
        <f t="shared" si="0"/>
        <v>0.54375000000000007</v>
      </c>
      <c r="J19" s="9">
        <f t="shared" si="1"/>
        <v>0.49097222222222237</v>
      </c>
      <c r="K19" s="8">
        <f t="shared" si="2"/>
        <v>5.2777777777777701E-2</v>
      </c>
    </row>
    <row r="20" spans="1:12" x14ac:dyDescent="0.25">
      <c r="A20" s="2">
        <v>16</v>
      </c>
      <c r="B20" s="20">
        <v>24</v>
      </c>
      <c r="C20" s="17" t="s">
        <v>40</v>
      </c>
      <c r="D20" s="6">
        <v>0.31736111111111115</v>
      </c>
      <c r="E20" s="6"/>
      <c r="F20" s="6"/>
      <c r="G20" s="7">
        <v>0.87708333333333333</v>
      </c>
      <c r="I20" s="9">
        <f t="shared" si="0"/>
        <v>0.55972222222222223</v>
      </c>
      <c r="J20" s="9" t="str">
        <f t="shared" si="1"/>
        <v>-</v>
      </c>
      <c r="K20" s="8" t="e">
        <f t="shared" si="2"/>
        <v>#VALUE!</v>
      </c>
      <c r="L20">
        <v>1.5</v>
      </c>
    </row>
    <row r="21" spans="1:12" x14ac:dyDescent="0.25">
      <c r="A21" s="2">
        <v>17</v>
      </c>
      <c r="B21" s="20">
        <v>25</v>
      </c>
      <c r="C21" s="5" t="s">
        <v>41</v>
      </c>
      <c r="D21" s="6">
        <v>0.31597222222222221</v>
      </c>
      <c r="E21" s="6">
        <v>0.40972222222222227</v>
      </c>
      <c r="F21" s="6">
        <v>0.48333333333333334</v>
      </c>
      <c r="G21" s="7">
        <v>0.87777777777777777</v>
      </c>
      <c r="I21" s="9">
        <f t="shared" si="0"/>
        <v>0.56180555555555556</v>
      </c>
      <c r="J21" s="9">
        <f t="shared" si="1"/>
        <v>0.48819444444444449</v>
      </c>
      <c r="K21" s="8">
        <f t="shared" si="2"/>
        <v>7.3611111111111072E-2</v>
      </c>
    </row>
    <row r="22" spans="1:12" x14ac:dyDescent="0.25">
      <c r="A22" s="2">
        <v>18</v>
      </c>
      <c r="B22" s="21">
        <v>29</v>
      </c>
      <c r="C22" s="19" t="s">
        <v>19</v>
      </c>
      <c r="D22" s="6">
        <v>0.31111111111111112</v>
      </c>
      <c r="E22" s="6"/>
      <c r="F22" s="6"/>
      <c r="G22" s="7">
        <v>0.875</v>
      </c>
      <c r="I22" s="9">
        <f t="shared" si="0"/>
        <v>0.56388888888888888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0.31805555555555554</v>
      </c>
      <c r="E23" s="6">
        <v>0.52986111111111112</v>
      </c>
      <c r="F23" s="6">
        <v>0.60416666666666663</v>
      </c>
      <c r="G23" s="7">
        <v>0.8881944444444444</v>
      </c>
      <c r="I23" s="9">
        <f t="shared" si="0"/>
        <v>0.57013888888888886</v>
      </c>
      <c r="J23" s="9">
        <f t="shared" si="1"/>
        <v>0.49583333333333335</v>
      </c>
      <c r="K23" s="8">
        <f t="shared" si="2"/>
        <v>7.4305555555555514E-2</v>
      </c>
    </row>
    <row r="24" spans="1:12" x14ac:dyDescent="0.25">
      <c r="A24" s="2">
        <v>20</v>
      </c>
      <c r="B24" s="20">
        <v>31</v>
      </c>
      <c r="C24" s="5" t="s">
        <v>14</v>
      </c>
      <c r="D24" s="6"/>
      <c r="E24" s="6"/>
      <c r="F24" s="6"/>
      <c r="G24" s="7"/>
      <c r="I24" s="9" t="str">
        <f t="shared" si="0"/>
        <v>-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1">
        <v>32</v>
      </c>
      <c r="C25" s="19" t="s">
        <v>17</v>
      </c>
      <c r="D25" s="6">
        <v>0.31805555555555554</v>
      </c>
      <c r="E25" s="6">
        <v>0.4291666666666667</v>
      </c>
      <c r="F25" s="6">
        <v>0.49444444444444446</v>
      </c>
      <c r="G25" s="7">
        <v>0.87222222222222223</v>
      </c>
      <c r="I25" s="9">
        <f t="shared" si="0"/>
        <v>0.5541666666666667</v>
      </c>
      <c r="J25" s="9">
        <f t="shared" si="1"/>
        <v>0.48888888888888893</v>
      </c>
      <c r="K25" s="8">
        <f t="shared" si="2"/>
        <v>6.5277777777777768E-2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/>
      <c r="E27" s="6"/>
      <c r="F27" s="6"/>
      <c r="G27" s="26"/>
      <c r="I27" s="9" t="str">
        <f t="shared" si="0"/>
        <v>-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/>
      <c r="E28" s="6"/>
      <c r="F28" s="6"/>
      <c r="G28" s="7"/>
      <c r="I28" s="9" t="str">
        <f t="shared" si="0"/>
        <v>-</v>
      </c>
      <c r="J28" s="9" t="str">
        <f t="shared" si="1"/>
        <v>-</v>
      </c>
      <c r="K28" s="8" t="e">
        <f t="shared" si="2"/>
        <v>#VALUE!</v>
      </c>
      <c r="L28" s="8"/>
    </row>
    <row r="29" spans="1:12" x14ac:dyDescent="0.25">
      <c r="A29" s="2">
        <v>25</v>
      </c>
      <c r="B29" s="20">
        <v>38</v>
      </c>
      <c r="C29" s="5" t="s">
        <v>57</v>
      </c>
      <c r="D29" s="6"/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0">
        <v>40</v>
      </c>
      <c r="C30" s="5" t="s">
        <v>16</v>
      </c>
      <c r="D30" s="6">
        <v>0.31180555555555556</v>
      </c>
      <c r="E30" s="6">
        <v>0.59652777777777777</v>
      </c>
      <c r="F30" s="6">
        <v>0.66180555555555554</v>
      </c>
      <c r="G30" s="7">
        <v>0.92638888888888893</v>
      </c>
      <c r="I30" s="9">
        <f t="shared" si="0"/>
        <v>0.61458333333333337</v>
      </c>
      <c r="J30" s="9">
        <f t="shared" si="1"/>
        <v>0.5493055555555556</v>
      </c>
      <c r="K30" s="8">
        <f t="shared" si="2"/>
        <v>6.5277777777777768E-2</v>
      </c>
      <c r="L30" s="8">
        <v>4.8611111111111112E-2</v>
      </c>
    </row>
    <row r="31" spans="1:12" x14ac:dyDescent="0.25">
      <c r="A31" s="2">
        <v>27</v>
      </c>
      <c r="B31" s="21">
        <v>44</v>
      </c>
      <c r="C31" s="19" t="s">
        <v>20</v>
      </c>
      <c r="D31" s="6">
        <v>0.31180555555555556</v>
      </c>
      <c r="E31" s="6">
        <v>0.50416666666666665</v>
      </c>
      <c r="F31" s="6">
        <v>0.56874999999999998</v>
      </c>
      <c r="G31" s="7">
        <v>0.87986111111111109</v>
      </c>
      <c r="I31" s="9">
        <f t="shared" si="0"/>
        <v>0.56805555555555554</v>
      </c>
      <c r="J31" s="9">
        <f t="shared" si="1"/>
        <v>0.50347222222222221</v>
      </c>
      <c r="K31" s="8">
        <f t="shared" si="2"/>
        <v>6.4583333333333326E-2</v>
      </c>
    </row>
    <row r="32" spans="1:12" x14ac:dyDescent="0.25">
      <c r="A32" s="2">
        <v>28</v>
      </c>
      <c r="B32" s="20">
        <v>56</v>
      </c>
      <c r="C32" s="5" t="s">
        <v>15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1">
        <v>58</v>
      </c>
      <c r="C33" s="19" t="s">
        <v>18</v>
      </c>
      <c r="D33" s="6">
        <v>0.30902777777777779</v>
      </c>
      <c r="E33" s="6"/>
      <c r="F33" s="6"/>
      <c r="G33" s="7">
        <v>0.87638888888888899</v>
      </c>
      <c r="I33" s="9">
        <f t="shared" si="0"/>
        <v>0.5673611111111112</v>
      </c>
      <c r="J33" s="9" t="str">
        <f t="shared" si="1"/>
        <v>-</v>
      </c>
      <c r="K33" s="8" t="e">
        <f t="shared" si="2"/>
        <v>#VALUE!</v>
      </c>
    </row>
    <row r="34" spans="1:11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69</v>
      </c>
      <c r="C35" s="17" t="s">
        <v>55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0">
        <v>72</v>
      </c>
      <c r="C36" s="17" t="s">
        <v>45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1">
        <v>75</v>
      </c>
      <c r="C37" s="19" t="s">
        <v>34</v>
      </c>
      <c r="D37" s="6">
        <v>0.31319444444444444</v>
      </c>
      <c r="E37" s="6">
        <v>0.57430555555555551</v>
      </c>
      <c r="F37" s="6">
        <v>0.63611111111111118</v>
      </c>
      <c r="G37" s="7">
        <v>0.87291666666666667</v>
      </c>
      <c r="I37" s="9">
        <f t="shared" si="0"/>
        <v>0.55972222222222223</v>
      </c>
      <c r="J37" s="9">
        <f t="shared" si="1"/>
        <v>0.49791666666666656</v>
      </c>
      <c r="K37" s="8">
        <f t="shared" si="2"/>
        <v>6.1805555555555669E-2</v>
      </c>
    </row>
    <row r="38" spans="1:11" x14ac:dyDescent="0.25">
      <c r="A38" s="2">
        <v>34</v>
      </c>
      <c r="B38" s="20">
        <v>76</v>
      </c>
      <c r="C38" s="19" t="s">
        <v>29</v>
      </c>
      <c r="D38" s="6"/>
      <c r="E38" s="6"/>
      <c r="F38" s="6"/>
      <c r="G38" s="7"/>
      <c r="I38" s="9" t="str">
        <f t="shared" si="0"/>
        <v>-</v>
      </c>
      <c r="J38" s="9" t="str">
        <f t="shared" si="1"/>
        <v>-</v>
      </c>
      <c r="K38" s="8" t="e">
        <f t="shared" si="2"/>
        <v>#VALUE!</v>
      </c>
    </row>
    <row r="39" spans="1:11" x14ac:dyDescent="0.25">
      <c r="A39" s="2">
        <v>35</v>
      </c>
      <c r="B39" s="20">
        <v>77</v>
      </c>
      <c r="C39" s="17" t="s">
        <v>42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1" x14ac:dyDescent="0.25">
      <c r="A40" s="2">
        <v>36</v>
      </c>
      <c r="B40" s="21">
        <v>83</v>
      </c>
      <c r="C40" s="19" t="s">
        <v>31</v>
      </c>
      <c r="D40" s="6">
        <v>0.31527777777777777</v>
      </c>
      <c r="E40" s="6">
        <v>0.74097222222222225</v>
      </c>
      <c r="F40" s="6">
        <v>0.80833333333333324</v>
      </c>
      <c r="G40" s="7">
        <v>0.88958333333333339</v>
      </c>
      <c r="I40" s="9">
        <f t="shared" si="0"/>
        <v>0.57430555555555562</v>
      </c>
      <c r="J40" s="9">
        <f t="shared" si="1"/>
        <v>0.50694444444444464</v>
      </c>
      <c r="K40" s="8">
        <f t="shared" si="2"/>
        <v>6.7361111111110983E-2</v>
      </c>
    </row>
    <row r="41" spans="1:11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1" x14ac:dyDescent="0.25">
      <c r="A42" s="2">
        <v>38</v>
      </c>
      <c r="B42" s="20">
        <v>90</v>
      </c>
      <c r="C42" s="5" t="s">
        <v>25</v>
      </c>
      <c r="D42" s="6">
        <v>0.31527777777777777</v>
      </c>
      <c r="E42" s="6">
        <v>0.66388888888888886</v>
      </c>
      <c r="F42" s="6">
        <v>0.72916666666666663</v>
      </c>
      <c r="G42" s="7">
        <v>0.87291666666666667</v>
      </c>
      <c r="I42" s="9">
        <f t="shared" si="0"/>
        <v>0.55763888888888891</v>
      </c>
      <c r="J42" s="9">
        <f t="shared" si="1"/>
        <v>0.49236111111111114</v>
      </c>
      <c r="K42" s="8">
        <f t="shared" si="2"/>
        <v>6.5277777777777768E-2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0.34791666666666665</v>
      </c>
      <c r="E43" s="6"/>
      <c r="F43" s="6"/>
      <c r="G43" s="26">
        <v>46240.012499999997</v>
      </c>
      <c r="I43" s="9">
        <f t="shared" si="0"/>
        <v>46239.664583333331</v>
      </c>
      <c r="J43" s="9" t="str">
        <f t="shared" si="1"/>
        <v>-</v>
      </c>
      <c r="K43" s="8" t="e">
        <f t="shared" si="2"/>
        <v>#VALUE!</v>
      </c>
    </row>
    <row r="44" spans="1:11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0">
        <v>99</v>
      </c>
      <c r="C45" s="5" t="s">
        <v>13</v>
      </c>
      <c r="D45" s="6">
        <v>0.31736111111111115</v>
      </c>
      <c r="E45" s="6">
        <v>0.56180555555555556</v>
      </c>
      <c r="F45" s="6">
        <v>0.62916666666666665</v>
      </c>
      <c r="G45" s="7">
        <v>0.90416666666666667</v>
      </c>
      <c r="I45" s="9">
        <f t="shared" si="0"/>
        <v>0.58680555555555558</v>
      </c>
      <c r="J45" s="9">
        <f t="shared" si="1"/>
        <v>0.51944444444444438</v>
      </c>
      <c r="K45" s="8">
        <f t="shared" si="2"/>
        <v>6.7361111111111205E-2</v>
      </c>
    </row>
    <row r="46" spans="1:11" x14ac:dyDescent="0.25">
      <c r="A46" s="2">
        <v>42</v>
      </c>
      <c r="B46" s="21">
        <v>115</v>
      </c>
      <c r="C46" s="17" t="s">
        <v>38</v>
      </c>
      <c r="D46" s="6"/>
      <c r="E46" s="1"/>
      <c r="F46" s="1"/>
      <c r="G46" s="7"/>
      <c r="I46" s="9" t="str">
        <f t="shared" si="0"/>
        <v>-</v>
      </c>
      <c r="J46" s="9" t="str">
        <f t="shared" si="1"/>
        <v>-</v>
      </c>
      <c r="K46" s="8" t="e">
        <f t="shared" si="2"/>
        <v>#VALUE!</v>
      </c>
    </row>
    <row r="47" spans="1:11" x14ac:dyDescent="0.25">
      <c r="A47" s="2">
        <v>43</v>
      </c>
      <c r="B47" s="20">
        <v>117</v>
      </c>
      <c r="C47" s="17" t="s">
        <v>44</v>
      </c>
      <c r="D47" s="6"/>
      <c r="E47" s="6"/>
      <c r="F47" s="6"/>
      <c r="G47" s="7"/>
      <c r="I47" s="9" t="str">
        <f t="shared" si="0"/>
        <v>-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/>
      <c r="E48" s="6"/>
      <c r="F48" s="6"/>
      <c r="G48" s="7"/>
      <c r="I48" s="9" t="str">
        <f t="shared" si="0"/>
        <v>-</v>
      </c>
      <c r="J48" s="9" t="str">
        <f t="shared" si="1"/>
        <v>-</v>
      </c>
      <c r="K48" s="8" t="e">
        <f t="shared" si="2"/>
        <v>#VALUE!</v>
      </c>
    </row>
    <row r="49" spans="1:12" x14ac:dyDescent="0.25">
      <c r="A49" s="2">
        <v>45</v>
      </c>
      <c r="B49" s="20">
        <v>124</v>
      </c>
      <c r="C49" s="5" t="s">
        <v>35</v>
      </c>
      <c r="D49" s="6"/>
      <c r="E49" s="6"/>
      <c r="F49" s="6"/>
      <c r="G49" s="7"/>
      <c r="I49" s="9" t="str">
        <f t="shared" si="0"/>
        <v>-</v>
      </c>
      <c r="J49" s="9" t="str">
        <f t="shared" si="1"/>
        <v>-</v>
      </c>
      <c r="K49" s="8" t="e">
        <f t="shared" si="2"/>
        <v>#VALUE!</v>
      </c>
    </row>
    <row r="50" spans="1:12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/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2" x14ac:dyDescent="0.25">
      <c r="A51" s="2">
        <v>47</v>
      </c>
      <c r="B51" s="20">
        <v>140</v>
      </c>
      <c r="C51" s="19" t="s">
        <v>32</v>
      </c>
      <c r="D51" s="6"/>
      <c r="E51" s="6"/>
      <c r="F51" s="6"/>
      <c r="G51" s="7"/>
      <c r="I51" s="9" t="str">
        <f t="shared" si="0"/>
        <v>-</v>
      </c>
      <c r="J51" s="9" t="str">
        <f t="shared" si="1"/>
        <v>-</v>
      </c>
      <c r="K51" s="8" t="e">
        <f t="shared" si="2"/>
        <v>#VALUE!</v>
      </c>
    </row>
    <row r="52" spans="1:12" x14ac:dyDescent="0.25">
      <c r="A52" s="2">
        <v>48</v>
      </c>
      <c r="B52" s="21">
        <v>143</v>
      </c>
      <c r="C52" s="19" t="s">
        <v>21</v>
      </c>
      <c r="D52" s="6"/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2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2" x14ac:dyDescent="0.25">
      <c r="A54" s="2">
        <v>50</v>
      </c>
      <c r="B54" s="20">
        <v>150</v>
      </c>
      <c r="C54" s="5" t="s">
        <v>12</v>
      </c>
      <c r="D54" s="6"/>
      <c r="E54" s="6"/>
      <c r="F54" s="6"/>
      <c r="G54" s="7"/>
      <c r="I54" s="9" t="str">
        <f t="shared" si="0"/>
        <v>-</v>
      </c>
      <c r="J54" s="9" t="str">
        <f t="shared" si="1"/>
        <v>-</v>
      </c>
      <c r="K54" s="8" t="e">
        <f t="shared" si="2"/>
        <v>#VALUE!</v>
      </c>
    </row>
    <row r="55" spans="1:12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2" x14ac:dyDescent="0.25">
      <c r="A56" s="2">
        <v>52</v>
      </c>
      <c r="B56" s="21">
        <v>155</v>
      </c>
      <c r="C56" s="19" t="s">
        <v>62</v>
      </c>
      <c r="D56" s="6"/>
      <c r="E56" s="6"/>
      <c r="F56" s="6"/>
      <c r="G56" s="7"/>
      <c r="I56" s="9" t="str">
        <f t="shared" si="0"/>
        <v>-</v>
      </c>
      <c r="J56" s="9" t="str">
        <f t="shared" si="1"/>
        <v>-</v>
      </c>
      <c r="K56" s="8" t="e">
        <f t="shared" si="2"/>
        <v>#VALUE!</v>
      </c>
    </row>
    <row r="57" spans="1:12" x14ac:dyDescent="0.25">
      <c r="A57" s="2">
        <v>53</v>
      </c>
      <c r="B57" s="21">
        <v>156</v>
      </c>
      <c r="C57" s="19" t="s">
        <v>67</v>
      </c>
      <c r="D57" s="6"/>
      <c r="E57" s="6"/>
      <c r="F57" s="6"/>
      <c r="G57" s="7"/>
      <c r="I57" s="9" t="str">
        <f t="shared" si="0"/>
        <v>-</v>
      </c>
      <c r="J57" s="9" t="str">
        <f t="shared" si="1"/>
        <v>-</v>
      </c>
      <c r="K57" s="8" t="e">
        <f t="shared" si="2"/>
        <v>#VALUE!</v>
      </c>
    </row>
    <row r="58" spans="1:12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0.63611111111111118</v>
      </c>
      <c r="F58" s="6">
        <v>0.69930555555555562</v>
      </c>
      <c r="G58" s="7">
        <v>0.87361111111111101</v>
      </c>
      <c r="I58" s="9">
        <f t="shared" si="0"/>
        <v>0.56111111111111101</v>
      </c>
      <c r="J58" s="9">
        <f t="shared" si="1"/>
        <v>0.49791666666666656</v>
      </c>
      <c r="K58" s="8">
        <f t="shared" si="2"/>
        <v>6.3194444444444442E-2</v>
      </c>
    </row>
    <row r="59" spans="1:12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2" x14ac:dyDescent="0.25">
      <c r="A60" s="2">
        <v>56</v>
      </c>
      <c r="B60" s="20">
        <v>160</v>
      </c>
      <c r="C60" s="17" t="s">
        <v>59</v>
      </c>
      <c r="D60" s="6">
        <v>0.33680555555555558</v>
      </c>
      <c r="E60" s="6"/>
      <c r="F60" s="6"/>
      <c r="G60" s="7">
        <v>0.63958333333333328</v>
      </c>
      <c r="I60" s="9">
        <f t="shared" si="0"/>
        <v>0.3027777777777777</v>
      </c>
      <c r="J60" s="9" t="str">
        <f t="shared" si="1"/>
        <v>-</v>
      </c>
      <c r="K60" s="8" t="e">
        <f t="shared" si="2"/>
        <v>#VALUE!</v>
      </c>
    </row>
    <row r="61" spans="1:12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2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2" x14ac:dyDescent="0.25">
      <c r="A63" s="2">
        <v>59</v>
      </c>
      <c r="B63" s="20">
        <v>169</v>
      </c>
      <c r="C63" s="19" t="s">
        <v>53</v>
      </c>
      <c r="D63" s="6"/>
      <c r="E63" s="6"/>
      <c r="F63" s="6"/>
      <c r="G63" s="7"/>
      <c r="I63" s="9" t="str">
        <f t="shared" si="0"/>
        <v>-</v>
      </c>
      <c r="J63" s="9" t="str">
        <f t="shared" si="1"/>
        <v>-</v>
      </c>
      <c r="K63" s="8" t="e">
        <f t="shared" si="2"/>
        <v>#VALUE!</v>
      </c>
    </row>
    <row r="64" spans="1:12" x14ac:dyDescent="0.25">
      <c r="A64" s="2">
        <v>60</v>
      </c>
      <c r="B64" s="20">
        <v>175</v>
      </c>
      <c r="C64" s="17" t="s">
        <v>60</v>
      </c>
      <c r="D64" s="6">
        <v>0.3125</v>
      </c>
      <c r="E64" s="6"/>
      <c r="F64" s="6"/>
      <c r="G64" s="6">
        <v>0.87638888888888899</v>
      </c>
      <c r="I64" s="9">
        <f t="shared" si="0"/>
        <v>0.56388888888888899</v>
      </c>
      <c r="J64" s="9" t="str">
        <f t="shared" si="1"/>
        <v>-</v>
      </c>
      <c r="K64" s="8" t="e">
        <f t="shared" si="2"/>
        <v>#VALUE!</v>
      </c>
      <c r="L64">
        <v>1.5</v>
      </c>
    </row>
    <row r="65" spans="1:12" x14ac:dyDescent="0.25">
      <c r="A65" s="2">
        <v>61</v>
      </c>
      <c r="B65" s="20">
        <v>176</v>
      </c>
      <c r="C65" s="19" t="s">
        <v>66</v>
      </c>
      <c r="D65" s="6">
        <v>0.31319444444444444</v>
      </c>
      <c r="E65" s="6">
        <v>0.53611111111111109</v>
      </c>
      <c r="F65" s="6">
        <v>0.59791666666666665</v>
      </c>
      <c r="G65" s="6">
        <v>0.87013888888888891</v>
      </c>
      <c r="I65" s="9">
        <f t="shared" si="0"/>
        <v>0.55694444444444446</v>
      </c>
      <c r="J65" s="9">
        <f t="shared" si="1"/>
        <v>0.49513888888888891</v>
      </c>
      <c r="K65" s="8">
        <f t="shared" si="2"/>
        <v>6.1805555555555558E-2</v>
      </c>
    </row>
    <row r="66" spans="1:12" x14ac:dyDescent="0.25">
      <c r="A66" s="2">
        <v>62</v>
      </c>
      <c r="B66" s="20">
        <v>177</v>
      </c>
      <c r="C66" s="17" t="s">
        <v>68</v>
      </c>
      <c r="D66" s="6">
        <v>0.32291666666666669</v>
      </c>
      <c r="E66" s="6">
        <v>0.67222222222222217</v>
      </c>
      <c r="F66" s="6">
        <v>0.73541666666666661</v>
      </c>
      <c r="G66" s="6">
        <v>0.87916666666666676</v>
      </c>
      <c r="I66" s="9">
        <f t="shared" si="0"/>
        <v>0.55625000000000013</v>
      </c>
      <c r="J66" s="9">
        <f t="shared" si="1"/>
        <v>0.49305555555555564</v>
      </c>
      <c r="K66" s="8">
        <f t="shared" si="2"/>
        <v>6.3194444444444497E-2</v>
      </c>
      <c r="L66">
        <v>1.5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0.31388888888888888</v>
      </c>
      <c r="E67" s="6">
        <v>0.53263888888888888</v>
      </c>
      <c r="F67" s="6">
        <v>0.55347222222222225</v>
      </c>
      <c r="G67" s="6">
        <v>0.6694444444444444</v>
      </c>
      <c r="I67" s="9">
        <f t="shared" si="0"/>
        <v>0.35555555555555551</v>
      </c>
      <c r="J67" s="9">
        <f t="shared" si="1"/>
        <v>0.33472222222222214</v>
      </c>
      <c r="K67" s="8">
        <f t="shared" si="2"/>
        <v>2.083333333333337E-2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0.31597222222222221</v>
      </c>
      <c r="E68" s="6">
        <v>0.65347222222222223</v>
      </c>
      <c r="F68" s="6">
        <v>0.71875</v>
      </c>
      <c r="G68" s="6">
        <v>0.90486111111111101</v>
      </c>
      <c r="I68" s="9">
        <f t="shared" si="0"/>
        <v>0.5888888888888888</v>
      </c>
      <c r="J68" s="9">
        <f t="shared" si="1"/>
        <v>0.52361111111111103</v>
      </c>
      <c r="K68" s="8">
        <f t="shared" si="2"/>
        <v>6.5277777777777768E-2</v>
      </c>
      <c r="L68">
        <v>1.5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0.52361111111111114</v>
      </c>
      <c r="E69" s="6">
        <v>0.57916666666666672</v>
      </c>
      <c r="F69" s="6">
        <v>0.59930555555555554</v>
      </c>
      <c r="G69" s="6">
        <v>0.875</v>
      </c>
      <c r="I69" s="9">
        <f t="shared" si="0"/>
        <v>0.35138888888888886</v>
      </c>
      <c r="J69" s="9">
        <f t="shared" si="1"/>
        <v>0.33125000000000004</v>
      </c>
      <c r="K69" s="8">
        <f t="shared" si="2"/>
        <v>2.0138888888888817E-2</v>
      </c>
    </row>
    <row r="70" spans="1:12" x14ac:dyDescent="0.25">
      <c r="A70" s="2">
        <v>66</v>
      </c>
      <c r="B70" s="20">
        <v>181</v>
      </c>
      <c r="C70" s="17" t="s">
        <v>71</v>
      </c>
      <c r="D70" s="6">
        <v>0.31736111111111115</v>
      </c>
      <c r="E70" s="6"/>
      <c r="F70" s="6"/>
      <c r="G70" s="6">
        <v>0.87638888888888899</v>
      </c>
      <c r="I70" s="9">
        <f t="shared" ref="I70:I79" si="3">IF(AND(D70 &lt;&gt; "", G70 &lt;&gt; ""), G70 - D70, "-")</f>
        <v>0.5590277777777779</v>
      </c>
      <c r="J70" s="9" t="str">
        <f t="shared" ref="J70:J79" si="4">IF(AND(D70 &lt;&gt; "", E70 &lt;&gt; "", F70 &lt;&gt; "", G70 &lt;&gt; ""), (E70 - D70)  + (G70 - F70), "-")</f>
        <v>-</v>
      </c>
      <c r="K70" s="8" t="e">
        <f t="shared" ref="K70:K79" si="5">SUM(I70-J70)</f>
        <v>#VALUE!</v>
      </c>
      <c r="L70">
        <v>1.5</v>
      </c>
    </row>
    <row r="71" spans="1:12" x14ac:dyDescent="0.25">
      <c r="A71" s="2">
        <v>67</v>
      </c>
      <c r="B71" s="20">
        <v>182</v>
      </c>
      <c r="C71" s="17" t="s">
        <v>73</v>
      </c>
      <c r="D71" s="6">
        <v>0.52430555555555558</v>
      </c>
      <c r="E71" s="1"/>
      <c r="F71" s="1"/>
      <c r="G71" s="6">
        <v>0.8833333333333333</v>
      </c>
      <c r="I71" s="9">
        <f t="shared" si="3"/>
        <v>0.35902777777777772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0.31597222222222221</v>
      </c>
      <c r="E72" s="35">
        <v>0.62986111111111109</v>
      </c>
      <c r="F72" s="35">
        <v>0.69444444444444453</v>
      </c>
      <c r="G72" s="35">
        <v>0.90416666666666667</v>
      </c>
      <c r="I72" s="9">
        <f t="shared" si="3"/>
        <v>0.58819444444444446</v>
      </c>
      <c r="J72" s="9">
        <f t="shared" si="4"/>
        <v>0.52361111111111103</v>
      </c>
      <c r="K72" s="8">
        <f t="shared" si="5"/>
        <v>6.4583333333333437E-2</v>
      </c>
      <c r="L72">
        <v>1.5</v>
      </c>
    </row>
    <row r="73" spans="1:12" x14ac:dyDescent="0.25">
      <c r="A73" s="2">
        <v>69</v>
      </c>
      <c r="B73" s="21">
        <v>185</v>
      </c>
      <c r="C73" s="32" t="s">
        <v>75</v>
      </c>
      <c r="D73" s="6">
        <v>0.31527777777777777</v>
      </c>
      <c r="E73" s="6">
        <v>0.58680555555555558</v>
      </c>
      <c r="F73" s="6">
        <v>0.64722222222222225</v>
      </c>
      <c r="G73" s="6">
        <v>0.87291666666666667</v>
      </c>
      <c r="I73" s="9">
        <f t="shared" si="3"/>
        <v>0.55763888888888891</v>
      </c>
      <c r="J73" s="9">
        <f t="shared" si="4"/>
        <v>0.49722222222222223</v>
      </c>
      <c r="K73" s="8">
        <f t="shared" si="5"/>
        <v>6.0416666666666674E-2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0.30902777777777779</v>
      </c>
      <c r="E74" s="6">
        <v>0.60902777777777783</v>
      </c>
      <c r="F74" s="6">
        <v>0.67291666666666661</v>
      </c>
      <c r="G74" s="6">
        <v>0.87569444444444444</v>
      </c>
      <c r="I74" s="9">
        <f t="shared" si="3"/>
        <v>0.56666666666666665</v>
      </c>
      <c r="J74" s="9">
        <f t="shared" si="4"/>
        <v>0.50277777777777788</v>
      </c>
      <c r="K74" s="8">
        <f t="shared" si="5"/>
        <v>6.3888888888888773E-2</v>
      </c>
      <c r="L74">
        <v>1.5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0.59513888888888888</v>
      </c>
      <c r="F77" s="6">
        <v>0.66041666666666665</v>
      </c>
      <c r="G77" s="6">
        <v>0.87569444444444444</v>
      </c>
      <c r="I77" s="9">
        <f t="shared" si="3"/>
        <v>0.55902777777777779</v>
      </c>
      <c r="J77" s="9">
        <f t="shared" si="4"/>
        <v>0.49375000000000002</v>
      </c>
      <c r="K77" s="8">
        <f t="shared" si="5"/>
        <v>6.5277777777777768E-2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69" priority="20">
      <formula>$I5 &lt; TIME(12,0,0)</formula>
    </cfRule>
  </conditionalFormatting>
  <conditionalFormatting sqref="A5:A78 I61:J79">
    <cfRule type="cellIs" dxfId="68" priority="19" operator="between">
      <formula>0.291666666666667</formula>
      <formula>0.315972222222222</formula>
    </cfRule>
  </conditionalFormatting>
  <conditionalFormatting sqref="C5:C19 C27:C28">
    <cfRule type="expression" priority="9" stopIfTrue="1">
      <formula>COUNTIF($E$1:$E$91,C5)&gt;1</formula>
    </cfRule>
    <cfRule type="expression" priority="10" stopIfTrue="1">
      <formula>COUNTIF($E$1:$E$95,C5)&gt;1</formula>
    </cfRule>
  </conditionalFormatting>
  <conditionalFormatting sqref="C20:C26 C29:C30 C33 C35:C72">
    <cfRule type="expression" priority="21" stopIfTrue="1">
      <formula>COUNTIF($D$1:$D$82,C20)&gt;1</formula>
    </cfRule>
    <cfRule type="expression" priority="22" stopIfTrue="1">
      <formula>COUNTIF($D$1:$D$86,C20)&gt;1</formula>
    </cfRule>
  </conditionalFormatting>
  <conditionalFormatting sqref="C31:C32 C34">
    <cfRule type="expression" priority="23" stopIfTrue="1">
      <formula>COUNTIF($E$1:$E$90,C31)&gt;1</formula>
    </cfRule>
    <cfRule type="expression" priority="24" stopIfTrue="1">
      <formula>COUNTIF($E$1:$E$94,C31)&gt;1</formula>
    </cfRule>
  </conditionalFormatting>
  <conditionalFormatting sqref="C73:C79">
    <cfRule type="expression" priority="11" stopIfTrue="1">
      <formula>COUNTIF($D$7:$D$89,C73)&gt;1</formula>
    </cfRule>
    <cfRule type="expression" priority="12" stopIfTrue="1">
      <formula>COUNTIF($D$7:$D$93,C73)&gt;1</formula>
    </cfRule>
  </conditionalFormatting>
  <conditionalFormatting sqref="D10:G10">
    <cfRule type="cellIs" dxfId="67" priority="6" operator="between">
      <formula>0.333333333333333</formula>
      <formula>0.375</formula>
    </cfRule>
  </conditionalFormatting>
  <conditionalFormatting sqref="D56:G56">
    <cfRule type="cellIs" dxfId="66" priority="16" operator="between">
      <formula>0.875694444444444</formula>
      <formula>0.999305555555556</formula>
    </cfRule>
    <cfRule type="cellIs" dxfId="65" priority="18" operator="between">
      <formula>0.333333333333333</formula>
      <formula>0.375</formula>
    </cfRule>
  </conditionalFormatting>
  <conditionalFormatting sqref="D5:J9">
    <cfRule type="expression" dxfId="64" priority="8">
      <formula>$I5 &lt; TIME(12,0,0)</formula>
    </cfRule>
  </conditionalFormatting>
  <conditionalFormatting sqref="D5:J12">
    <cfRule type="cellIs" dxfId="63" priority="7" operator="between">
      <formula>0.291666666666667</formula>
      <formula>0.315972222222222</formula>
    </cfRule>
  </conditionalFormatting>
  <conditionalFormatting sqref="D13:J53">
    <cfRule type="cellIs" dxfId="62" priority="1" operator="between">
      <formula>0.291666666666667</formula>
      <formula>0.315972222222222</formula>
    </cfRule>
    <cfRule type="expression" dxfId="61" priority="2">
      <formula>$I13 &lt; TIME(12,0,0)</formula>
    </cfRule>
  </conditionalFormatting>
  <conditionalFormatting sqref="D54:J58">
    <cfRule type="cellIs" dxfId="60" priority="17" operator="between">
      <formula>0.291666666666667</formula>
      <formula>0.315972222222222</formula>
    </cfRule>
  </conditionalFormatting>
  <conditionalFormatting sqref="D59:J60">
    <cfRule type="cellIs" dxfId="59" priority="13" operator="between">
      <formula>0.291666666666667</formula>
      <formula>0.315972222222222</formula>
    </cfRule>
    <cfRule type="expression" dxfId="58" priority="14">
      <formula>$I59 &lt; TIME(12,0,0)</formula>
    </cfRule>
  </conditionalFormatting>
  <conditionalFormatting sqref="G10">
    <cfRule type="cellIs" dxfId="57" priority="5" operator="between">
      <formula>0.875694444444444</formula>
      <formula>0.978472222222222</formula>
    </cfRule>
  </conditionalFormatting>
  <conditionalFormatting sqref="G56">
    <cfRule type="cellIs" dxfId="56" priority="15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05DE-7265-4445-B973-ABCBE2109829}">
  <dimension ref="A2:M79"/>
  <sheetViews>
    <sheetView workbookViewId="0">
      <pane ySplit="3" topLeftCell="A37" activePane="bottomLeft" state="frozen"/>
      <selection pane="bottomLeft" activeCell="O54" sqref="O54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3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3" ht="135" x14ac:dyDescent="0.25">
      <c r="A3" s="10"/>
      <c r="B3" s="22"/>
      <c r="C3" s="27" t="s">
        <v>0</v>
      </c>
      <c r="D3" s="27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3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3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3" x14ac:dyDescent="0.25">
      <c r="A6" s="2">
        <v>2</v>
      </c>
      <c r="B6" s="20">
        <v>3</v>
      </c>
      <c r="C6" s="5" t="s">
        <v>24</v>
      </c>
      <c r="D6" s="6">
        <v>0.31736111111111115</v>
      </c>
      <c r="E6" s="6">
        <v>0.60833333333333328</v>
      </c>
      <c r="F6" s="6">
        <v>0.67708333333333337</v>
      </c>
      <c r="G6" s="7">
        <v>0.87777777777777777</v>
      </c>
      <c r="I6" s="9">
        <f t="shared" ref="I6:I69" si="0">IF(AND(D6 &lt;&gt; "", G6 &lt;&gt; ""), G6 - D6, "-")</f>
        <v>0.56041666666666656</v>
      </c>
      <c r="J6" s="9">
        <f t="shared" ref="J6:J69" si="1">IF(AND(D6 &lt;&gt; "", E6 &lt;&gt; "", F6 &lt;&gt; "", G6 &lt;&gt; ""), (E6 - D6)  + (G6 - F6), "-")</f>
        <v>0.49166666666666653</v>
      </c>
      <c r="K6" s="8">
        <f t="shared" ref="K6:K69" si="2">SUM(I6-J6)</f>
        <v>6.8750000000000033E-2</v>
      </c>
    </row>
    <row r="7" spans="1:13" x14ac:dyDescent="0.25">
      <c r="A7" s="2">
        <v>3</v>
      </c>
      <c r="B7" s="20">
        <v>6</v>
      </c>
      <c r="C7" s="19" t="s">
        <v>69</v>
      </c>
      <c r="D7" s="6">
        <v>0.31736111111111115</v>
      </c>
      <c r="E7" s="6">
        <v>0.52152777777777781</v>
      </c>
      <c r="F7" s="6"/>
      <c r="G7" s="7">
        <v>0.58888888888888891</v>
      </c>
      <c r="I7" s="9">
        <f t="shared" si="0"/>
        <v>0.27152777777777776</v>
      </c>
      <c r="J7" s="9" t="str">
        <f t="shared" si="1"/>
        <v>-</v>
      </c>
      <c r="K7" s="8" t="e">
        <f t="shared" si="2"/>
        <v>#VALUE!</v>
      </c>
      <c r="M7">
        <v>0.5</v>
      </c>
    </row>
    <row r="8" spans="1:13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3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3" x14ac:dyDescent="0.25">
      <c r="A10" s="2">
        <v>6</v>
      </c>
      <c r="B10" s="20">
        <v>10</v>
      </c>
      <c r="C10" s="5" t="s">
        <v>11</v>
      </c>
      <c r="D10" s="6">
        <v>0.31111111111111112</v>
      </c>
      <c r="E10" s="6">
        <v>0.47291666666666665</v>
      </c>
      <c r="F10" s="6">
        <v>0.52708333333333335</v>
      </c>
      <c r="G10" s="7">
        <v>0.86944444444444446</v>
      </c>
      <c r="I10" s="9">
        <f t="shared" si="0"/>
        <v>0.55833333333333335</v>
      </c>
      <c r="J10" s="9">
        <f t="shared" si="1"/>
        <v>0.50416666666666665</v>
      </c>
      <c r="K10" s="8">
        <f t="shared" si="2"/>
        <v>5.4166666666666696E-2</v>
      </c>
    </row>
    <row r="11" spans="1:13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3" x14ac:dyDescent="0.25">
      <c r="A12" s="2">
        <v>8</v>
      </c>
      <c r="B12" s="20">
        <v>13</v>
      </c>
      <c r="C12" s="19" t="s">
        <v>33</v>
      </c>
      <c r="D12" s="6">
        <v>0.30833333333333335</v>
      </c>
      <c r="E12" s="6">
        <v>0.5708333333333333</v>
      </c>
      <c r="F12" s="6">
        <v>0.63194444444444442</v>
      </c>
      <c r="G12" s="7">
        <v>0.87013888888888891</v>
      </c>
      <c r="I12" s="9">
        <f t="shared" si="0"/>
        <v>0.56180555555555556</v>
      </c>
      <c r="J12" s="9">
        <f t="shared" si="1"/>
        <v>0.50069444444444444</v>
      </c>
      <c r="K12" s="8">
        <f t="shared" si="2"/>
        <v>6.1111111111111116E-2</v>
      </c>
    </row>
    <row r="13" spans="1:13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3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3" x14ac:dyDescent="0.25">
      <c r="A15" s="2">
        <v>11</v>
      </c>
      <c r="B15" s="20">
        <v>17</v>
      </c>
      <c r="C15" s="5" t="s">
        <v>54</v>
      </c>
      <c r="D15" s="6">
        <v>0.34791666666666665</v>
      </c>
      <c r="E15" s="6">
        <v>0.52708333333333335</v>
      </c>
      <c r="F15" s="6"/>
      <c r="G15" s="7">
        <v>0.86458333333333337</v>
      </c>
      <c r="I15" s="9">
        <f t="shared" si="0"/>
        <v>0.51666666666666672</v>
      </c>
      <c r="J15" s="9" t="str">
        <f t="shared" si="1"/>
        <v>-</v>
      </c>
      <c r="K15" s="8" t="e">
        <f t="shared" si="2"/>
        <v>#VALUE!</v>
      </c>
    </row>
    <row r="16" spans="1:13" x14ac:dyDescent="0.25">
      <c r="A16" s="2">
        <v>12</v>
      </c>
      <c r="B16" s="20">
        <v>18</v>
      </c>
      <c r="C16" s="5" t="s">
        <v>4</v>
      </c>
      <c r="D16" s="6">
        <v>0.31458333333333333</v>
      </c>
      <c r="E16" s="6">
        <v>0.70416666666666661</v>
      </c>
      <c r="F16" s="6">
        <v>0.77013888888888893</v>
      </c>
      <c r="G16" s="7">
        <v>0.89097222222222217</v>
      </c>
      <c r="I16" s="9">
        <f t="shared" si="0"/>
        <v>0.57638888888888884</v>
      </c>
      <c r="J16" s="9">
        <f t="shared" si="1"/>
        <v>0.51041666666666652</v>
      </c>
      <c r="K16" s="8">
        <f t="shared" si="2"/>
        <v>6.5972222222222321E-2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0.3125</v>
      </c>
      <c r="E17" s="6">
        <v>0.52916666666666667</v>
      </c>
      <c r="F17" s="6">
        <v>0.59513888888888888</v>
      </c>
      <c r="G17" s="7">
        <v>0.87152777777777779</v>
      </c>
      <c r="I17" s="9">
        <f t="shared" si="0"/>
        <v>0.55902777777777779</v>
      </c>
      <c r="J17" s="9">
        <f t="shared" si="1"/>
        <v>0.49305555555555558</v>
      </c>
      <c r="K17" s="8">
        <f t="shared" si="2"/>
        <v>6.597222222222221E-2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>
        <v>0.31180555555555556</v>
      </c>
      <c r="E19" s="6">
        <v>0.52847222222222223</v>
      </c>
      <c r="F19" s="6">
        <v>0.59097222222222223</v>
      </c>
      <c r="G19" s="7">
        <v>0.8340277777777777</v>
      </c>
      <c r="I19" s="9">
        <f t="shared" si="0"/>
        <v>0.52222222222222214</v>
      </c>
      <c r="J19" s="9">
        <f t="shared" si="1"/>
        <v>0.45972222222222214</v>
      </c>
      <c r="K19" s="8">
        <f t="shared" si="2"/>
        <v>6.25E-2</v>
      </c>
    </row>
    <row r="20" spans="1:12" x14ac:dyDescent="0.25">
      <c r="A20" s="2">
        <v>16</v>
      </c>
      <c r="B20" s="20">
        <v>24</v>
      </c>
      <c r="C20" s="17" t="s">
        <v>40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0">
        <v>25</v>
      </c>
      <c r="C21" s="5" t="s">
        <v>41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1">
        <v>29</v>
      </c>
      <c r="C22" s="19" t="s">
        <v>19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0.63055555555555554</v>
      </c>
      <c r="E23" s="6"/>
      <c r="F23" s="6"/>
      <c r="G23" s="7">
        <v>0.87569444444444444</v>
      </c>
      <c r="I23" s="9">
        <f t="shared" si="0"/>
        <v>0.24513888888888891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0">
        <v>31</v>
      </c>
      <c r="C24" s="5" t="s">
        <v>14</v>
      </c>
      <c r="D24" s="6">
        <v>0.31597222222222221</v>
      </c>
      <c r="E24" s="6"/>
      <c r="F24" s="6"/>
      <c r="G24" s="7">
        <v>0.8965277777777777</v>
      </c>
      <c r="I24" s="9">
        <f t="shared" si="0"/>
        <v>0.58055555555555549</v>
      </c>
      <c r="J24" s="9" t="str">
        <f t="shared" si="1"/>
        <v>-</v>
      </c>
      <c r="K24" s="8" t="e">
        <f t="shared" si="2"/>
        <v>#VALUE!</v>
      </c>
    </row>
    <row r="25" spans="1:12" x14ac:dyDescent="0.25">
      <c r="A25" s="2">
        <v>21</v>
      </c>
      <c r="B25" s="21">
        <v>32</v>
      </c>
      <c r="C25" s="19" t="s">
        <v>17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>
        <v>0.31666666666666665</v>
      </c>
      <c r="E27" s="6"/>
      <c r="F27" s="6"/>
      <c r="G27" s="7">
        <v>0.95416666666666661</v>
      </c>
      <c r="I27" s="9">
        <f t="shared" si="0"/>
        <v>0.63749999999999996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>
        <v>0.31736111111111115</v>
      </c>
      <c r="E28" s="6">
        <v>0.61875000000000002</v>
      </c>
      <c r="F28" s="6">
        <v>0.71319444444444446</v>
      </c>
      <c r="G28" s="7">
        <v>0.87638888888888899</v>
      </c>
      <c r="I28" s="9">
        <f t="shared" si="0"/>
        <v>0.5590277777777779</v>
      </c>
      <c r="J28" s="9">
        <f t="shared" si="1"/>
        <v>0.4645833333333334</v>
      </c>
      <c r="K28" s="8">
        <f t="shared" si="2"/>
        <v>9.4444444444444497E-2</v>
      </c>
      <c r="L28" s="8">
        <v>3.125E-2</v>
      </c>
    </row>
    <row r="29" spans="1:12" x14ac:dyDescent="0.25">
      <c r="A29" s="2">
        <v>25</v>
      </c>
      <c r="B29" s="20">
        <v>38</v>
      </c>
      <c r="C29" s="5" t="s">
        <v>57</v>
      </c>
      <c r="D29" s="6">
        <v>0.31041666666666667</v>
      </c>
      <c r="E29" s="6"/>
      <c r="F29" s="6"/>
      <c r="G29" s="7">
        <v>0.89861111111111114</v>
      </c>
      <c r="I29" s="9">
        <f t="shared" si="0"/>
        <v>0.58819444444444446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0">
        <v>40</v>
      </c>
      <c r="C30" s="5" t="s">
        <v>16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  <c r="L30" s="8"/>
    </row>
    <row r="31" spans="1:12" x14ac:dyDescent="0.25">
      <c r="A31" s="2">
        <v>27</v>
      </c>
      <c r="B31" s="21">
        <v>44</v>
      </c>
      <c r="C31" s="19" t="s">
        <v>20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0">
        <v>56</v>
      </c>
      <c r="C32" s="5" t="s">
        <v>15</v>
      </c>
      <c r="D32" s="6">
        <v>0.31458333333333333</v>
      </c>
      <c r="E32" s="6">
        <v>0.69652777777777775</v>
      </c>
      <c r="F32" s="6">
        <v>0.76388888888888884</v>
      </c>
      <c r="G32" s="7">
        <v>0.87152777777777779</v>
      </c>
      <c r="I32" s="9">
        <f t="shared" si="0"/>
        <v>0.55694444444444446</v>
      </c>
      <c r="J32" s="9">
        <f t="shared" si="1"/>
        <v>0.48958333333333337</v>
      </c>
      <c r="K32" s="8">
        <f t="shared" si="2"/>
        <v>6.7361111111111094E-2</v>
      </c>
    </row>
    <row r="33" spans="1:12" x14ac:dyDescent="0.25">
      <c r="A33" s="2">
        <v>29</v>
      </c>
      <c r="B33" s="21">
        <v>58</v>
      </c>
      <c r="C33" s="19" t="s">
        <v>18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2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2" x14ac:dyDescent="0.25">
      <c r="A35" s="2">
        <v>31</v>
      </c>
      <c r="B35" s="20">
        <v>69</v>
      </c>
      <c r="C35" s="17" t="s">
        <v>55</v>
      </c>
      <c r="D35" s="6">
        <v>0.39444444444444443</v>
      </c>
      <c r="E35" s="6"/>
      <c r="F35" s="6"/>
      <c r="G35" s="7">
        <v>0.86249999999999993</v>
      </c>
      <c r="I35" s="9">
        <f t="shared" si="0"/>
        <v>0.4680555555555555</v>
      </c>
      <c r="J35" s="9" t="str">
        <f t="shared" si="1"/>
        <v>-</v>
      </c>
      <c r="K35" s="8" t="e">
        <f t="shared" si="2"/>
        <v>#VALUE!</v>
      </c>
      <c r="L35">
        <v>1.5</v>
      </c>
    </row>
    <row r="36" spans="1:12" x14ac:dyDescent="0.25">
      <c r="A36" s="2">
        <v>32</v>
      </c>
      <c r="B36" s="20">
        <v>72</v>
      </c>
      <c r="C36" s="17" t="s">
        <v>45</v>
      </c>
      <c r="D36" s="6">
        <v>0.32013888888888892</v>
      </c>
      <c r="E36" s="6"/>
      <c r="F36" s="6"/>
      <c r="G36" s="7">
        <v>0.87708333333333333</v>
      </c>
      <c r="I36" s="9">
        <f t="shared" si="0"/>
        <v>0.55694444444444446</v>
      </c>
      <c r="J36" s="9" t="str">
        <f t="shared" si="1"/>
        <v>-</v>
      </c>
      <c r="K36" s="8" t="e">
        <f t="shared" si="2"/>
        <v>#VALUE!</v>
      </c>
    </row>
    <row r="37" spans="1:12" x14ac:dyDescent="0.25">
      <c r="A37" s="2">
        <v>33</v>
      </c>
      <c r="B37" s="21">
        <v>75</v>
      </c>
      <c r="C37" s="19" t="s">
        <v>34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2" x14ac:dyDescent="0.25">
      <c r="A38" s="2">
        <v>34</v>
      </c>
      <c r="B38" s="20">
        <v>76</v>
      </c>
      <c r="C38" s="19" t="s">
        <v>29</v>
      </c>
      <c r="D38" s="6">
        <v>0.3125</v>
      </c>
      <c r="E38" s="6">
        <v>0.63888888888888895</v>
      </c>
      <c r="F38" s="6">
        <v>0.70208333333333339</v>
      </c>
      <c r="G38" s="7">
        <v>0.88680555555555562</v>
      </c>
      <c r="I38" s="9">
        <f t="shared" si="0"/>
        <v>0.57430555555555562</v>
      </c>
      <c r="J38" s="9">
        <f t="shared" si="1"/>
        <v>0.51111111111111118</v>
      </c>
      <c r="K38" s="8">
        <f t="shared" si="2"/>
        <v>6.3194444444444442E-2</v>
      </c>
    </row>
    <row r="39" spans="1:12" x14ac:dyDescent="0.25">
      <c r="A39" s="2">
        <v>35</v>
      </c>
      <c r="B39" s="20">
        <v>77</v>
      </c>
      <c r="C39" s="17" t="s">
        <v>42</v>
      </c>
      <c r="D39" s="6">
        <v>0.31527777777777777</v>
      </c>
      <c r="E39" s="6">
        <v>0.57222222222222219</v>
      </c>
      <c r="F39" s="6">
        <v>0.62638888888888888</v>
      </c>
      <c r="G39" s="7">
        <v>0.87361111111111101</v>
      </c>
      <c r="I39" s="9">
        <f t="shared" si="0"/>
        <v>0.55833333333333324</v>
      </c>
      <c r="J39" s="9">
        <f t="shared" si="1"/>
        <v>0.50416666666666654</v>
      </c>
      <c r="K39" s="8">
        <f t="shared" si="2"/>
        <v>5.4166666666666696E-2</v>
      </c>
      <c r="L39">
        <v>1.5</v>
      </c>
    </row>
    <row r="40" spans="1:12" x14ac:dyDescent="0.25">
      <c r="A40" s="2">
        <v>36</v>
      </c>
      <c r="B40" s="21">
        <v>83</v>
      </c>
      <c r="C40" s="19" t="s">
        <v>31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2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2" x14ac:dyDescent="0.25">
      <c r="A42" s="2">
        <v>38</v>
      </c>
      <c r="B42" s="20">
        <v>90</v>
      </c>
      <c r="C42" s="5" t="s">
        <v>25</v>
      </c>
      <c r="D42" s="6"/>
      <c r="E42" s="1"/>
      <c r="F42" s="6"/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2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/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2" x14ac:dyDescent="0.25">
      <c r="A44" s="2">
        <v>40</v>
      </c>
      <c r="B44" s="21">
        <v>98</v>
      </c>
      <c r="C44" s="19" t="s">
        <v>22</v>
      </c>
      <c r="D44" s="6">
        <v>0.31180555555555556</v>
      </c>
      <c r="E44" s="6">
        <v>0.54166666666666663</v>
      </c>
      <c r="F44" s="6">
        <v>0.61458333333333337</v>
      </c>
      <c r="G44" s="7">
        <v>0.86875000000000002</v>
      </c>
      <c r="I44" s="9">
        <f t="shared" si="0"/>
        <v>0.55694444444444446</v>
      </c>
      <c r="J44" s="9">
        <f t="shared" si="1"/>
        <v>0.48402777777777772</v>
      </c>
      <c r="K44" s="8">
        <f t="shared" si="2"/>
        <v>7.2916666666666741E-2</v>
      </c>
    </row>
    <row r="45" spans="1:12" x14ac:dyDescent="0.25">
      <c r="A45" s="2">
        <v>41</v>
      </c>
      <c r="B45" s="20">
        <v>99</v>
      </c>
      <c r="C45" s="5" t="s">
        <v>13</v>
      </c>
      <c r="D45" s="6"/>
      <c r="E45" s="6"/>
      <c r="F45" s="6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2" x14ac:dyDescent="0.25">
      <c r="A46" s="2">
        <v>42</v>
      </c>
      <c r="B46" s="21">
        <v>115</v>
      </c>
      <c r="C46" s="17" t="s">
        <v>38</v>
      </c>
      <c r="D46" s="6">
        <v>0.31319444444444444</v>
      </c>
      <c r="E46" s="6">
        <v>0.45416666666666666</v>
      </c>
      <c r="F46" s="6">
        <v>0.52430555555555558</v>
      </c>
      <c r="G46" s="7">
        <v>0.86875000000000002</v>
      </c>
      <c r="I46" s="9">
        <f t="shared" si="0"/>
        <v>0.55555555555555558</v>
      </c>
      <c r="J46" s="9">
        <f t="shared" si="1"/>
        <v>0.48541666666666666</v>
      </c>
      <c r="K46" s="8">
        <f t="shared" si="2"/>
        <v>7.0138888888888917E-2</v>
      </c>
      <c r="L46">
        <v>1.5</v>
      </c>
    </row>
    <row r="47" spans="1:12" x14ac:dyDescent="0.25">
      <c r="A47" s="2">
        <v>43</v>
      </c>
      <c r="B47" s="20">
        <v>117</v>
      </c>
      <c r="C47" s="17" t="s">
        <v>44</v>
      </c>
      <c r="D47" s="6">
        <v>0.31458333333333333</v>
      </c>
      <c r="E47" s="6"/>
      <c r="F47" s="6"/>
      <c r="G47" s="7">
        <v>0.87361111111111101</v>
      </c>
      <c r="I47" s="9">
        <f t="shared" si="0"/>
        <v>0.55902777777777768</v>
      </c>
      <c r="J47" s="9" t="str">
        <f t="shared" si="1"/>
        <v>-</v>
      </c>
      <c r="K47" s="8" t="e">
        <f t="shared" si="2"/>
        <v>#VALUE!</v>
      </c>
      <c r="L47">
        <v>1.5</v>
      </c>
    </row>
    <row r="48" spans="1:12" x14ac:dyDescent="0.25">
      <c r="A48" s="2">
        <v>44</v>
      </c>
      <c r="B48" s="20">
        <v>119</v>
      </c>
      <c r="C48" s="19" t="s">
        <v>8</v>
      </c>
      <c r="D48" s="6">
        <v>0.31319444444444444</v>
      </c>
      <c r="E48" s="6">
        <v>0.53680555555555554</v>
      </c>
      <c r="F48" s="6">
        <v>0.60625000000000007</v>
      </c>
      <c r="G48" s="7">
        <v>0.87361111111111101</v>
      </c>
      <c r="I48" s="9">
        <f t="shared" si="0"/>
        <v>0.56041666666666656</v>
      </c>
      <c r="J48" s="9">
        <f t="shared" si="1"/>
        <v>0.49097222222222203</v>
      </c>
      <c r="K48" s="8">
        <f t="shared" si="2"/>
        <v>6.9444444444444531E-2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0.85277777777777775</v>
      </c>
      <c r="I49" s="9">
        <f t="shared" si="0"/>
        <v>0.54097222222222219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>
        <v>0.31388888888888888</v>
      </c>
      <c r="E50" s="6"/>
      <c r="F50" s="6"/>
      <c r="G50" s="7">
        <v>0.87777777777777777</v>
      </c>
      <c r="I50" s="9">
        <f t="shared" si="0"/>
        <v>0.56388888888888888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0.31944444444444448</v>
      </c>
      <c r="E51" s="6"/>
      <c r="F51" s="6"/>
      <c r="G51" s="7">
        <v>0.87430555555555556</v>
      </c>
      <c r="I51" s="9">
        <f t="shared" si="0"/>
        <v>0.55486111111111103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0.31319444444444444</v>
      </c>
      <c r="E52" s="6"/>
      <c r="F52" s="6"/>
      <c r="G52" s="7">
        <v>0.87777777777777777</v>
      </c>
      <c r="I52" s="9">
        <f t="shared" si="0"/>
        <v>0.56458333333333333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0.31319444444444444</v>
      </c>
      <c r="E54" s="6"/>
      <c r="F54" s="6"/>
      <c r="G54" s="7">
        <v>0.87222222222222223</v>
      </c>
      <c r="I54" s="9">
        <f t="shared" si="0"/>
        <v>0.55902777777777779</v>
      </c>
      <c r="J54" s="9" t="str">
        <f t="shared" si="1"/>
        <v>-</v>
      </c>
      <c r="K54" s="8" t="e">
        <f t="shared" si="2"/>
        <v>#VALUE!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0.31875000000000003</v>
      </c>
      <c r="E56" s="6">
        <v>0.67499999999999993</v>
      </c>
      <c r="F56" s="6">
        <v>0.73749999999999993</v>
      </c>
      <c r="G56" s="7">
        <v>0.87291666666666667</v>
      </c>
      <c r="I56" s="9">
        <f t="shared" si="0"/>
        <v>0.5541666666666667</v>
      </c>
      <c r="J56" s="9">
        <f t="shared" si="1"/>
        <v>0.49166666666666664</v>
      </c>
      <c r="K56" s="8">
        <f t="shared" si="2"/>
        <v>6.2500000000000056E-2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0.30486111111111108</v>
      </c>
      <c r="E57" s="6">
        <v>0.46666666666666662</v>
      </c>
      <c r="F57" s="6">
        <v>0.53541666666666665</v>
      </c>
      <c r="G57" s="7">
        <v>0.875</v>
      </c>
      <c r="I57" s="9">
        <f t="shared" si="0"/>
        <v>0.57013888888888897</v>
      </c>
      <c r="J57" s="9">
        <f t="shared" si="1"/>
        <v>0.50138888888888888</v>
      </c>
      <c r="K57" s="8">
        <f t="shared" si="2"/>
        <v>6.8750000000000089E-2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0.32291666666666669</v>
      </c>
      <c r="E60" s="6"/>
      <c r="F60" s="6"/>
      <c r="G60" s="7">
        <v>0.72986111111111107</v>
      </c>
      <c r="I60" s="9">
        <f t="shared" si="0"/>
        <v>0.40694444444444439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0.31527777777777777</v>
      </c>
      <c r="E63" s="6">
        <v>0.41180555555555554</v>
      </c>
      <c r="F63" s="6">
        <v>0.47152777777777777</v>
      </c>
      <c r="G63" s="7">
        <v>0.87361111111111101</v>
      </c>
      <c r="I63" s="9">
        <f t="shared" si="0"/>
        <v>0.55833333333333324</v>
      </c>
      <c r="J63" s="9">
        <f t="shared" si="1"/>
        <v>0.49861111111111101</v>
      </c>
      <c r="K63" s="8">
        <f t="shared" si="2"/>
        <v>5.9722222222222232E-2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3" x14ac:dyDescent="0.25">
      <c r="A65" s="2">
        <v>61</v>
      </c>
      <c r="B65" s="20">
        <v>176</v>
      </c>
      <c r="C65" s="19" t="s">
        <v>66</v>
      </c>
      <c r="D65" s="6">
        <v>0.31527777777777777</v>
      </c>
      <c r="E65" s="6">
        <v>0.53680555555555554</v>
      </c>
      <c r="F65" s="6">
        <v>0.58333333333333337</v>
      </c>
      <c r="G65" s="6">
        <v>0.87291666666666667</v>
      </c>
      <c r="I65" s="9">
        <f t="shared" si="0"/>
        <v>0.55763888888888891</v>
      </c>
      <c r="J65" s="9">
        <f t="shared" si="1"/>
        <v>0.51111111111111107</v>
      </c>
      <c r="K65" s="8">
        <f t="shared" si="2"/>
        <v>4.6527777777777835E-2</v>
      </c>
    </row>
    <row r="66" spans="1:13" x14ac:dyDescent="0.25">
      <c r="A66" s="2">
        <v>62</v>
      </c>
      <c r="B66" s="20">
        <v>177</v>
      </c>
      <c r="C66" s="17" t="s">
        <v>68</v>
      </c>
      <c r="D66" s="6">
        <v>0.31875000000000003</v>
      </c>
      <c r="E66" s="1"/>
      <c r="F66" s="1"/>
      <c r="G66" s="6">
        <v>0.66597222222222219</v>
      </c>
      <c r="I66" s="9">
        <f t="shared" si="0"/>
        <v>0.34722222222222215</v>
      </c>
      <c r="J66" s="9" t="str">
        <f t="shared" si="1"/>
        <v>-</v>
      </c>
      <c r="K66" s="8" t="e">
        <f t="shared" si="2"/>
        <v>#VALUE!</v>
      </c>
    </row>
    <row r="67" spans="1:13" x14ac:dyDescent="0.25">
      <c r="A67" s="2">
        <v>63</v>
      </c>
      <c r="B67" s="20">
        <v>178</v>
      </c>
      <c r="C67" s="17" t="s">
        <v>70</v>
      </c>
      <c r="D67" s="6">
        <v>0.31527777777777777</v>
      </c>
      <c r="E67" s="6">
        <v>0.56388888888888888</v>
      </c>
      <c r="F67" s="6">
        <v>0.62638888888888888</v>
      </c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3" x14ac:dyDescent="0.25">
      <c r="A68" s="2">
        <v>64</v>
      </c>
      <c r="B68" s="20">
        <v>179</v>
      </c>
      <c r="C68" s="17" t="s">
        <v>63</v>
      </c>
      <c r="D68" s="6">
        <v>0.31805555555555554</v>
      </c>
      <c r="E68" s="1"/>
      <c r="F68" s="1"/>
      <c r="G68" s="6">
        <v>0.89930555555555547</v>
      </c>
      <c r="I68" s="9">
        <f t="shared" si="0"/>
        <v>0.58124999999999993</v>
      </c>
      <c r="J68" s="9" t="str">
        <f t="shared" si="1"/>
        <v>-</v>
      </c>
      <c r="K68" s="8" t="e">
        <f t="shared" si="2"/>
        <v>#VALUE!</v>
      </c>
      <c r="L68">
        <v>1.5</v>
      </c>
    </row>
    <row r="69" spans="1:13" x14ac:dyDescent="0.25">
      <c r="A69" s="2">
        <v>65</v>
      </c>
      <c r="B69" s="20">
        <v>180</v>
      </c>
      <c r="C69" s="17" t="s">
        <v>72</v>
      </c>
      <c r="D69" s="6">
        <v>0.31388888888888888</v>
      </c>
      <c r="E69" s="6">
        <v>0.55277777777777781</v>
      </c>
      <c r="F69" s="6">
        <v>0.61111111111111105</v>
      </c>
      <c r="G69" s="6">
        <v>0.875</v>
      </c>
      <c r="I69" s="9">
        <f t="shared" si="0"/>
        <v>0.56111111111111112</v>
      </c>
      <c r="J69" s="9">
        <f t="shared" si="1"/>
        <v>0.50277777777777788</v>
      </c>
      <c r="K69" s="8">
        <f t="shared" si="2"/>
        <v>5.8333333333333237E-2</v>
      </c>
      <c r="M69">
        <v>1.5</v>
      </c>
    </row>
    <row r="70" spans="1:13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79" si="3">IF(AND(D70 &lt;&gt; "", G70 &lt;&gt; ""), G70 - D70, "-")</f>
        <v>-</v>
      </c>
      <c r="J70" s="9" t="str">
        <f t="shared" ref="J70:J79" si="4">IF(AND(D70 &lt;&gt; "", E70 &lt;&gt; "", F70 &lt;&gt; "", G70 &lt;&gt; ""), (E70 - D70)  + (G70 - F70), "-")</f>
        <v>-</v>
      </c>
      <c r="K70" s="8" t="e">
        <f t="shared" ref="K70:K79" si="5">SUM(I70-J70)</f>
        <v>#VALUE!</v>
      </c>
    </row>
    <row r="71" spans="1:13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3" x14ac:dyDescent="0.25">
      <c r="A72" s="2">
        <v>68</v>
      </c>
      <c r="B72" s="23">
        <v>183</v>
      </c>
      <c r="C72" s="24" t="s">
        <v>74</v>
      </c>
      <c r="D72" s="35">
        <v>0.31805555555555554</v>
      </c>
      <c r="E72" s="25"/>
      <c r="F72" s="25"/>
      <c r="G72" s="35">
        <v>0.70694444444444438</v>
      </c>
      <c r="I72" s="9">
        <f t="shared" si="3"/>
        <v>0.38888888888888884</v>
      </c>
      <c r="J72" s="9" t="str">
        <f t="shared" si="4"/>
        <v>-</v>
      </c>
      <c r="K72" s="8" t="e">
        <f t="shared" si="5"/>
        <v>#VALUE!</v>
      </c>
    </row>
    <row r="73" spans="1:13" x14ac:dyDescent="0.25">
      <c r="A73" s="2">
        <v>69</v>
      </c>
      <c r="B73" s="21">
        <v>185</v>
      </c>
      <c r="C73" s="32" t="s">
        <v>75</v>
      </c>
      <c r="D73" s="1"/>
      <c r="E73" s="1"/>
      <c r="F73" s="1"/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3" x14ac:dyDescent="0.25">
      <c r="A74" s="2">
        <v>70</v>
      </c>
      <c r="B74" s="21">
        <v>187</v>
      </c>
      <c r="C74" s="17" t="s">
        <v>76</v>
      </c>
      <c r="D74" s="6">
        <v>0.76041666666666663</v>
      </c>
      <c r="E74" s="6"/>
      <c r="F74" s="6"/>
      <c r="G74" s="6">
        <v>0.87708333333333333</v>
      </c>
      <c r="I74" s="9">
        <f t="shared" si="3"/>
        <v>0.1166666666666667</v>
      </c>
      <c r="J74" s="9" t="str">
        <f t="shared" si="4"/>
        <v>-</v>
      </c>
      <c r="K74" s="8" t="e">
        <f t="shared" si="5"/>
        <v>#VALUE!</v>
      </c>
    </row>
    <row r="75" spans="1:13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3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3" x14ac:dyDescent="0.25">
      <c r="A77" s="2">
        <v>73</v>
      </c>
      <c r="B77" s="21">
        <v>190</v>
      </c>
      <c r="C77" s="32" t="s">
        <v>81</v>
      </c>
      <c r="D77" s="6">
        <v>0.31736111111111115</v>
      </c>
      <c r="E77" s="6">
        <v>0.60555555555555551</v>
      </c>
      <c r="F77" s="6">
        <v>0.67222222222222217</v>
      </c>
      <c r="G77" s="6">
        <v>0.87708333333333333</v>
      </c>
      <c r="I77" s="9">
        <f t="shared" si="3"/>
        <v>0.55972222222222223</v>
      </c>
      <c r="J77" s="9">
        <f t="shared" si="4"/>
        <v>0.49305555555555552</v>
      </c>
      <c r="K77" s="8">
        <f t="shared" si="5"/>
        <v>6.6666666666666707E-2</v>
      </c>
    </row>
    <row r="78" spans="1:13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3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55" priority="18">
      <formula>$I5 &lt; TIME(12,0,0)</formula>
    </cfRule>
  </conditionalFormatting>
  <conditionalFormatting sqref="A5:A78 I61:J79">
    <cfRule type="cellIs" dxfId="54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53" priority="4" operator="between">
      <formula>0.333333333333333</formula>
      <formula>0.375</formula>
    </cfRule>
  </conditionalFormatting>
  <conditionalFormatting sqref="D56:G56">
    <cfRule type="cellIs" dxfId="52" priority="14" operator="between">
      <formula>0.875694444444444</formula>
      <formula>0.999305555555556</formula>
    </cfRule>
    <cfRule type="cellIs" dxfId="51" priority="16" operator="between">
      <formula>0.333333333333333</formula>
      <formula>0.375</formula>
    </cfRule>
  </conditionalFormatting>
  <conditionalFormatting sqref="D5:J9">
    <cfRule type="expression" dxfId="50" priority="6">
      <formula>$I5 &lt; TIME(12,0,0)</formula>
    </cfRule>
  </conditionalFormatting>
  <conditionalFormatting sqref="D5:J12">
    <cfRule type="cellIs" dxfId="49" priority="5" operator="between">
      <formula>0.291666666666667</formula>
      <formula>0.315972222222222</formula>
    </cfRule>
  </conditionalFormatting>
  <conditionalFormatting sqref="D13:J53">
    <cfRule type="cellIs" dxfId="48" priority="1" operator="between">
      <formula>0.291666666666667</formula>
      <formula>0.315972222222222</formula>
    </cfRule>
    <cfRule type="expression" dxfId="47" priority="2">
      <formula>$I13 &lt; TIME(12,0,0)</formula>
    </cfRule>
  </conditionalFormatting>
  <conditionalFormatting sqref="D54:J58">
    <cfRule type="cellIs" dxfId="46" priority="15" operator="between">
      <formula>0.291666666666667</formula>
      <formula>0.315972222222222</formula>
    </cfRule>
  </conditionalFormatting>
  <conditionalFormatting sqref="D59:J60">
    <cfRule type="cellIs" dxfId="45" priority="11" operator="between">
      <formula>0.291666666666667</formula>
      <formula>0.315972222222222</formula>
    </cfRule>
    <cfRule type="expression" dxfId="44" priority="12">
      <formula>$I59 &lt; TIME(12,0,0)</formula>
    </cfRule>
  </conditionalFormatting>
  <conditionalFormatting sqref="G10">
    <cfRule type="cellIs" dxfId="43" priority="3" operator="between">
      <formula>0.875694444444444</formula>
      <formula>0.978472222222222</formula>
    </cfRule>
  </conditionalFormatting>
  <conditionalFormatting sqref="G56">
    <cfRule type="cellIs" dxfId="42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2423-7676-4C64-88EB-EA1C138F6970}">
  <dimension ref="A2:L79"/>
  <sheetViews>
    <sheetView workbookViewId="0">
      <pane ySplit="3" topLeftCell="A37" activePane="bottomLeft" state="frozen"/>
      <selection pane="bottomLeft" activeCell="L30" sqref="L30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27" t="s">
        <v>0</v>
      </c>
      <c r="D3" s="27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0.31666666666666665</v>
      </c>
      <c r="E6" s="6"/>
      <c r="F6" s="6"/>
      <c r="G6" s="7">
        <v>0.81388888888888899</v>
      </c>
      <c r="I6" s="9">
        <f t="shared" ref="I6:I69" si="0">IF(AND(D6 &lt;&gt; "", G6 &lt;&gt; ""), G6 - D6, "-")</f>
        <v>0.49722222222222234</v>
      </c>
      <c r="J6" s="9" t="str">
        <f t="shared" ref="J6:J69" si="1">IF(AND(D6 &lt;&gt; "", E6 &lt;&gt; "", F6 &lt;&gt; "", G6 &lt;&gt; ""), (E6 - D6)  + (G6 - F6), "-")</f>
        <v>-</v>
      </c>
      <c r="K6" s="8" t="e">
        <f t="shared" ref="K6:K69" si="2">SUM(I6-J6)</f>
        <v>#VALUE!</v>
      </c>
    </row>
    <row r="7" spans="1:11" x14ac:dyDescent="0.25">
      <c r="A7" s="2">
        <v>3</v>
      </c>
      <c r="B7" s="20">
        <v>6</v>
      </c>
      <c r="C7" s="19" t="s">
        <v>69</v>
      </c>
      <c r="D7" s="6">
        <v>0.31597222222222221</v>
      </c>
      <c r="E7" s="6">
        <v>0.49583333333333335</v>
      </c>
      <c r="F7" s="6">
        <v>0.56666666666666665</v>
      </c>
      <c r="G7" s="7">
        <v>0.88402777777777775</v>
      </c>
      <c r="I7" s="9">
        <f t="shared" si="0"/>
        <v>0.56805555555555554</v>
      </c>
      <c r="J7" s="9">
        <f t="shared" si="1"/>
        <v>0.49722222222222223</v>
      </c>
      <c r="K7" s="8">
        <f t="shared" si="2"/>
        <v>7.0833333333333304E-2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0.31388888888888888</v>
      </c>
      <c r="E10" s="6">
        <v>0.49236111111111108</v>
      </c>
      <c r="F10" s="6">
        <v>0.5444444444444444</v>
      </c>
      <c r="G10" s="7">
        <v>0.87291666666666667</v>
      </c>
      <c r="I10" s="9">
        <f t="shared" si="0"/>
        <v>0.55902777777777779</v>
      </c>
      <c r="J10" s="9">
        <f t="shared" si="1"/>
        <v>0.50694444444444442</v>
      </c>
      <c r="K10" s="8">
        <f t="shared" si="2"/>
        <v>5.208333333333337E-2</v>
      </c>
    </row>
    <row r="11" spans="1:11" x14ac:dyDescent="0.25">
      <c r="A11" s="2">
        <v>7</v>
      </c>
      <c r="B11" s="20">
        <v>12</v>
      </c>
      <c r="C11" s="5" t="s">
        <v>7</v>
      </c>
      <c r="D11" s="6"/>
      <c r="E11" s="6"/>
      <c r="F11" s="6"/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0.3125</v>
      </c>
      <c r="E12" s="6">
        <v>0.71111111111111114</v>
      </c>
      <c r="F12" s="6"/>
      <c r="G12" s="7">
        <v>0.87152777777777779</v>
      </c>
      <c r="I12" s="9">
        <f t="shared" si="0"/>
        <v>0.55902777777777779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/>
      <c r="E13" s="6"/>
      <c r="F13" s="6"/>
      <c r="G13" s="7"/>
      <c r="I13" s="9" t="str">
        <f t="shared" si="0"/>
        <v>-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/>
      <c r="E14" s="6"/>
      <c r="F14" s="6"/>
      <c r="G14" s="7"/>
      <c r="I14" s="9" t="str">
        <f t="shared" si="0"/>
        <v>-</v>
      </c>
      <c r="J14" s="9" t="str">
        <f t="shared" si="1"/>
        <v>-</v>
      </c>
      <c r="K14" s="8" t="e">
        <f t="shared" si="2"/>
        <v>#VALUE!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0.31388888888888888</v>
      </c>
      <c r="E15" s="6">
        <v>0.52638888888888891</v>
      </c>
      <c r="F15" s="6">
        <v>0.58750000000000002</v>
      </c>
      <c r="G15" s="7">
        <v>0.85833333333333339</v>
      </c>
      <c r="I15" s="9">
        <f t="shared" si="0"/>
        <v>0.54444444444444451</v>
      </c>
      <c r="J15" s="9">
        <f t="shared" si="1"/>
        <v>0.48333333333333339</v>
      </c>
      <c r="K15" s="8">
        <f t="shared" si="2"/>
        <v>6.1111111111111116E-2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0.31388888888888888</v>
      </c>
      <c r="E16" s="6">
        <v>0.56388888888888888</v>
      </c>
      <c r="F16" s="6">
        <v>0.62916666666666665</v>
      </c>
      <c r="G16" s="7">
        <v>0.87638888888888899</v>
      </c>
      <c r="I16" s="9">
        <f t="shared" si="0"/>
        <v>0.56250000000000011</v>
      </c>
      <c r="J16" s="9">
        <f t="shared" si="1"/>
        <v>0.49722222222222234</v>
      </c>
      <c r="K16" s="8">
        <f t="shared" si="2"/>
        <v>6.5277777777777768E-2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0.31388888888888888</v>
      </c>
      <c r="E17" s="6">
        <v>0.53680555555555554</v>
      </c>
      <c r="F17" s="6">
        <v>0.60277777777777775</v>
      </c>
      <c r="G17" s="7">
        <v>0.87291666666666667</v>
      </c>
      <c r="I17" s="9">
        <f t="shared" si="0"/>
        <v>0.55902777777777779</v>
      </c>
      <c r="J17" s="9">
        <f t="shared" si="1"/>
        <v>0.49305555555555558</v>
      </c>
      <c r="K17" s="8">
        <f t="shared" si="2"/>
        <v>6.597222222222221E-2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>
        <v>0.31666666666666665</v>
      </c>
      <c r="E19" s="6">
        <v>0.53402777777777777</v>
      </c>
      <c r="F19" s="6">
        <v>0.60555555555555551</v>
      </c>
      <c r="G19" s="7">
        <v>0.87222222222222223</v>
      </c>
      <c r="I19" s="9">
        <f t="shared" si="0"/>
        <v>0.55555555555555558</v>
      </c>
      <c r="J19" s="9">
        <f t="shared" si="1"/>
        <v>0.48402777777777783</v>
      </c>
      <c r="K19" s="8">
        <f t="shared" si="2"/>
        <v>7.1527777777777746E-2</v>
      </c>
    </row>
    <row r="20" spans="1:12" x14ac:dyDescent="0.25">
      <c r="A20" s="2">
        <v>16</v>
      </c>
      <c r="B20" s="20">
        <v>24</v>
      </c>
      <c r="C20" s="17" t="s">
        <v>40</v>
      </c>
      <c r="D20" s="6"/>
      <c r="E20" s="6"/>
      <c r="F20" s="6"/>
      <c r="G20" s="7"/>
      <c r="I20" s="9" t="str">
        <f t="shared" si="0"/>
        <v>-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0">
        <v>25</v>
      </c>
      <c r="C21" s="5" t="s">
        <v>41</v>
      </c>
      <c r="D21" s="6"/>
      <c r="E21" s="6"/>
      <c r="F21" s="6"/>
      <c r="G21" s="7"/>
      <c r="I21" s="9" t="str">
        <f t="shared" si="0"/>
        <v>-</v>
      </c>
      <c r="J21" s="9" t="str">
        <f t="shared" si="1"/>
        <v>-</v>
      </c>
      <c r="K21" s="8" t="e">
        <f t="shared" si="2"/>
        <v>#VALUE!</v>
      </c>
    </row>
    <row r="22" spans="1:12" x14ac:dyDescent="0.25">
      <c r="A22" s="2">
        <v>18</v>
      </c>
      <c r="B22" s="21">
        <v>29</v>
      </c>
      <c r="C22" s="19" t="s">
        <v>19</v>
      </c>
      <c r="D22" s="6"/>
      <c r="E22" s="6"/>
      <c r="F22" s="6"/>
      <c r="G22" s="7"/>
      <c r="I22" s="9" t="str">
        <f t="shared" si="0"/>
        <v>-</v>
      </c>
      <c r="J22" s="9" t="str">
        <f t="shared" si="1"/>
        <v>-</v>
      </c>
      <c r="K22" s="8" t="e">
        <f t="shared" si="2"/>
        <v>#VALUE!</v>
      </c>
    </row>
    <row r="23" spans="1:12" x14ac:dyDescent="0.25">
      <c r="A23" s="2">
        <v>19</v>
      </c>
      <c r="B23" s="20">
        <v>30</v>
      </c>
      <c r="C23" s="5" t="s">
        <v>30</v>
      </c>
      <c r="D23" s="6"/>
      <c r="E23" s="6"/>
      <c r="F23" s="6"/>
      <c r="G23" s="7"/>
      <c r="I23" s="9" t="str">
        <f t="shared" si="0"/>
        <v>-</v>
      </c>
      <c r="J23" s="9" t="str">
        <f t="shared" si="1"/>
        <v>-</v>
      </c>
      <c r="K23" s="8" t="e">
        <f t="shared" si="2"/>
        <v>#VALUE!</v>
      </c>
    </row>
    <row r="24" spans="1:12" x14ac:dyDescent="0.25">
      <c r="A24" s="2">
        <v>20</v>
      </c>
      <c r="B24" s="20">
        <v>31</v>
      </c>
      <c r="C24" s="5" t="s">
        <v>14</v>
      </c>
      <c r="D24" s="6">
        <v>0.31388888888888888</v>
      </c>
      <c r="E24" s="6">
        <v>0.68472222222222223</v>
      </c>
      <c r="F24" s="6">
        <v>0.74375000000000002</v>
      </c>
      <c r="G24" s="7">
        <v>0.87638888888888899</v>
      </c>
      <c r="I24" s="9">
        <f t="shared" si="0"/>
        <v>0.56250000000000011</v>
      </c>
      <c r="J24" s="9">
        <f t="shared" si="1"/>
        <v>0.50347222222222232</v>
      </c>
      <c r="K24" s="8">
        <f t="shared" si="2"/>
        <v>5.902777777777779E-2</v>
      </c>
    </row>
    <row r="25" spans="1:12" x14ac:dyDescent="0.25">
      <c r="A25" s="2">
        <v>21</v>
      </c>
      <c r="B25" s="21">
        <v>32</v>
      </c>
      <c r="C25" s="19" t="s">
        <v>17</v>
      </c>
      <c r="D25" s="6"/>
      <c r="E25" s="6"/>
      <c r="F25" s="6"/>
      <c r="G25" s="7"/>
      <c r="I25" s="9" t="str">
        <f t="shared" si="0"/>
        <v>-</v>
      </c>
      <c r="J25" s="9" t="str">
        <f t="shared" si="1"/>
        <v>-</v>
      </c>
      <c r="K25" s="8" t="e">
        <f t="shared" si="2"/>
        <v>#VALUE!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18" t="s">
        <v>23</v>
      </c>
      <c r="D27" s="6">
        <v>0.32569444444444445</v>
      </c>
      <c r="E27" s="6"/>
      <c r="F27" s="6"/>
      <c r="G27" s="7">
        <v>0.9590277777777777</v>
      </c>
      <c r="I27" s="9">
        <f t="shared" si="0"/>
        <v>0.6333333333333333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>
        <v>0.3215277777777778</v>
      </c>
      <c r="E28" s="6">
        <v>0.61388888888888882</v>
      </c>
      <c r="F28" s="6">
        <v>0.70694444444444438</v>
      </c>
      <c r="G28" s="7">
        <v>0.875</v>
      </c>
      <c r="I28" s="9">
        <f t="shared" si="0"/>
        <v>0.55347222222222214</v>
      </c>
      <c r="J28" s="9">
        <f t="shared" si="1"/>
        <v>0.46041666666666664</v>
      </c>
      <c r="K28" s="8">
        <f t="shared" si="2"/>
        <v>9.3055555555555503E-2</v>
      </c>
      <c r="L28" s="8">
        <v>2.7777777777777776E-2</v>
      </c>
    </row>
    <row r="29" spans="1:12" x14ac:dyDescent="0.25">
      <c r="A29" s="2">
        <v>25</v>
      </c>
      <c r="B29" s="20">
        <v>38</v>
      </c>
      <c r="C29" s="5" t="s">
        <v>57</v>
      </c>
      <c r="D29" s="6">
        <v>0.31458333333333333</v>
      </c>
      <c r="E29" s="6"/>
      <c r="F29" s="6"/>
      <c r="G29" s="7">
        <v>0.90486111111111101</v>
      </c>
      <c r="I29" s="9">
        <f t="shared" si="0"/>
        <v>0.59027777777777768</v>
      </c>
      <c r="J29" s="9" t="str">
        <f t="shared" si="1"/>
        <v>-</v>
      </c>
      <c r="K29" s="8" t="e">
        <f t="shared" si="2"/>
        <v>#VALUE!</v>
      </c>
      <c r="L29" s="8">
        <v>2.7777777777777776E-2</v>
      </c>
    </row>
    <row r="30" spans="1:12" x14ac:dyDescent="0.25">
      <c r="A30" s="2">
        <v>26</v>
      </c>
      <c r="B30" s="20">
        <v>40</v>
      </c>
      <c r="C30" s="5" t="s">
        <v>16</v>
      </c>
      <c r="D30" s="6"/>
      <c r="E30" s="6"/>
      <c r="F30" s="6"/>
      <c r="G30" s="7"/>
      <c r="I30" s="9" t="str">
        <f t="shared" si="0"/>
        <v>-</v>
      </c>
      <c r="J30" s="9" t="str">
        <f t="shared" si="1"/>
        <v>-</v>
      </c>
      <c r="K30" s="8" t="e">
        <f t="shared" si="2"/>
        <v>#VALUE!</v>
      </c>
      <c r="L30" s="8"/>
    </row>
    <row r="31" spans="1:12" x14ac:dyDescent="0.25">
      <c r="A31" s="2">
        <v>27</v>
      </c>
      <c r="B31" s="21">
        <v>44</v>
      </c>
      <c r="C31" s="19" t="s">
        <v>20</v>
      </c>
      <c r="D31" s="6"/>
      <c r="E31" s="6"/>
      <c r="F31" s="6"/>
      <c r="G31" s="7"/>
      <c r="I31" s="9" t="str">
        <f t="shared" si="0"/>
        <v>-</v>
      </c>
      <c r="J31" s="9" t="str">
        <f t="shared" si="1"/>
        <v>-</v>
      </c>
      <c r="K31" s="8" t="e">
        <f t="shared" si="2"/>
        <v>#VALUE!</v>
      </c>
    </row>
    <row r="32" spans="1:12" x14ac:dyDescent="0.25">
      <c r="A32" s="2">
        <v>28</v>
      </c>
      <c r="B32" s="20">
        <v>56</v>
      </c>
      <c r="C32" s="5" t="s">
        <v>15</v>
      </c>
      <c r="D32" s="6">
        <v>0.31319444444444444</v>
      </c>
      <c r="E32" s="6">
        <v>0.67152777777777783</v>
      </c>
      <c r="F32" s="6">
        <v>0.71111111111111114</v>
      </c>
      <c r="G32" s="7">
        <v>0.87430555555555556</v>
      </c>
      <c r="I32" s="9">
        <f t="shared" si="0"/>
        <v>0.56111111111111112</v>
      </c>
      <c r="J32" s="9">
        <f t="shared" si="1"/>
        <v>0.52152777777777781</v>
      </c>
      <c r="K32" s="8">
        <f t="shared" si="2"/>
        <v>3.9583333333333304E-2</v>
      </c>
    </row>
    <row r="33" spans="1:12" x14ac:dyDescent="0.25">
      <c r="A33" s="2">
        <v>29</v>
      </c>
      <c r="B33" s="21">
        <v>58</v>
      </c>
      <c r="C33" s="19" t="s">
        <v>18</v>
      </c>
      <c r="D33" s="6"/>
      <c r="E33" s="6"/>
      <c r="F33" s="6"/>
      <c r="G33" s="7"/>
      <c r="I33" s="9" t="str">
        <f t="shared" si="0"/>
        <v>-</v>
      </c>
      <c r="J33" s="9" t="str">
        <f t="shared" si="1"/>
        <v>-</v>
      </c>
      <c r="K33" s="8" t="e">
        <f t="shared" si="2"/>
        <v>#VALUE!</v>
      </c>
    </row>
    <row r="34" spans="1:12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2" x14ac:dyDescent="0.25">
      <c r="A35" s="2">
        <v>31</v>
      </c>
      <c r="B35" s="20">
        <v>69</v>
      </c>
      <c r="C35" s="17" t="s">
        <v>55</v>
      </c>
      <c r="D35" s="6">
        <v>0.4069444444444445</v>
      </c>
      <c r="E35" s="6"/>
      <c r="F35" s="6"/>
      <c r="G35" s="7">
        <v>0.76736111111111116</v>
      </c>
      <c r="I35" s="9">
        <f t="shared" si="0"/>
        <v>0.36041666666666666</v>
      </c>
      <c r="J35" s="9" t="str">
        <f t="shared" si="1"/>
        <v>-</v>
      </c>
      <c r="K35" s="8" t="e">
        <f t="shared" si="2"/>
        <v>#VALUE!</v>
      </c>
    </row>
    <row r="36" spans="1:12" x14ac:dyDescent="0.25">
      <c r="A36" s="2">
        <v>32</v>
      </c>
      <c r="B36" s="20">
        <v>72</v>
      </c>
      <c r="C36" s="17" t="s">
        <v>45</v>
      </c>
      <c r="D36" s="6">
        <v>0.33194444444444443</v>
      </c>
      <c r="E36" s="6"/>
      <c r="F36" s="6"/>
      <c r="G36" s="7">
        <v>0.88055555555555554</v>
      </c>
      <c r="I36" s="9">
        <f t="shared" si="0"/>
        <v>0.54861111111111116</v>
      </c>
      <c r="J36" s="9" t="str">
        <f t="shared" si="1"/>
        <v>-</v>
      </c>
      <c r="K36" s="8" t="e">
        <f t="shared" si="2"/>
        <v>#VALUE!</v>
      </c>
    </row>
    <row r="37" spans="1:12" x14ac:dyDescent="0.25">
      <c r="A37" s="2">
        <v>33</v>
      </c>
      <c r="B37" s="21">
        <v>75</v>
      </c>
      <c r="C37" s="19" t="s">
        <v>34</v>
      </c>
      <c r="D37" s="6"/>
      <c r="E37" s="6"/>
      <c r="F37" s="6"/>
      <c r="G37" s="7"/>
      <c r="I37" s="9" t="str">
        <f t="shared" si="0"/>
        <v>-</v>
      </c>
      <c r="J37" s="9" t="str">
        <f t="shared" si="1"/>
        <v>-</v>
      </c>
      <c r="K37" s="8" t="e">
        <f t="shared" si="2"/>
        <v>#VALUE!</v>
      </c>
    </row>
    <row r="38" spans="1:12" x14ac:dyDescent="0.25">
      <c r="A38" s="2">
        <v>34</v>
      </c>
      <c r="B38" s="20">
        <v>76</v>
      </c>
      <c r="C38" s="19" t="s">
        <v>29</v>
      </c>
      <c r="D38" s="6">
        <v>0.31180555555555556</v>
      </c>
      <c r="E38" s="6">
        <v>0.68958333333333333</v>
      </c>
      <c r="F38" s="6">
        <v>0.75277777777777777</v>
      </c>
      <c r="G38" s="7">
        <v>0.87083333333333324</v>
      </c>
      <c r="I38" s="9">
        <f t="shared" si="0"/>
        <v>0.55902777777777768</v>
      </c>
      <c r="J38" s="9">
        <f t="shared" si="1"/>
        <v>0.49583333333333324</v>
      </c>
      <c r="K38" s="8">
        <f t="shared" si="2"/>
        <v>6.3194444444444442E-2</v>
      </c>
    </row>
    <row r="39" spans="1:12" x14ac:dyDescent="0.25">
      <c r="A39" s="2">
        <v>35</v>
      </c>
      <c r="B39" s="20">
        <v>77</v>
      </c>
      <c r="C39" s="17" t="s">
        <v>42</v>
      </c>
      <c r="D39" s="6">
        <v>0.3125</v>
      </c>
      <c r="E39" s="6">
        <v>0.58750000000000002</v>
      </c>
      <c r="F39" s="6">
        <v>0.65277777777777779</v>
      </c>
      <c r="G39" s="7">
        <v>0.87638888888888899</v>
      </c>
      <c r="I39" s="9">
        <f t="shared" si="0"/>
        <v>0.56388888888888899</v>
      </c>
      <c r="J39" s="9">
        <f t="shared" si="1"/>
        <v>0.49861111111111123</v>
      </c>
      <c r="K39" s="8">
        <f t="shared" si="2"/>
        <v>6.5277777777777768E-2</v>
      </c>
      <c r="L39">
        <v>1.5</v>
      </c>
    </row>
    <row r="40" spans="1:12" x14ac:dyDescent="0.25">
      <c r="A40" s="2">
        <v>36</v>
      </c>
      <c r="B40" s="21">
        <v>83</v>
      </c>
      <c r="C40" s="19" t="s">
        <v>31</v>
      </c>
      <c r="D40" s="6"/>
      <c r="E40" s="6"/>
      <c r="F40" s="6"/>
      <c r="G40" s="7"/>
      <c r="I40" s="9" t="str">
        <f t="shared" si="0"/>
        <v>-</v>
      </c>
      <c r="J40" s="9" t="str">
        <f t="shared" si="1"/>
        <v>-</v>
      </c>
      <c r="K40" s="8" t="e">
        <f t="shared" si="2"/>
        <v>#VALUE!</v>
      </c>
    </row>
    <row r="41" spans="1:12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2" x14ac:dyDescent="0.25">
      <c r="A42" s="2">
        <v>38</v>
      </c>
      <c r="B42" s="20">
        <v>90</v>
      </c>
      <c r="C42" s="5" t="s">
        <v>25</v>
      </c>
      <c r="D42" s="6"/>
      <c r="E42" s="1"/>
      <c r="F42" s="6"/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2" x14ac:dyDescent="0.25">
      <c r="A43" s="2">
        <v>39</v>
      </c>
      <c r="B43" s="20">
        <v>91</v>
      </c>
      <c r="C43" s="18" t="s">
        <v>37</v>
      </c>
      <c r="D43" s="6"/>
      <c r="E43" s="6"/>
      <c r="F43" s="6"/>
      <c r="G43" s="7"/>
      <c r="I43" s="9" t="str">
        <f t="shared" si="0"/>
        <v>-</v>
      </c>
      <c r="J43" s="9" t="str">
        <f t="shared" si="1"/>
        <v>-</v>
      </c>
      <c r="K43" s="8" t="e">
        <f t="shared" si="2"/>
        <v>#VALUE!</v>
      </c>
    </row>
    <row r="44" spans="1:12" x14ac:dyDescent="0.25">
      <c r="A44" s="2">
        <v>40</v>
      </c>
      <c r="B44" s="21">
        <v>98</v>
      </c>
      <c r="C44" s="19" t="s">
        <v>22</v>
      </c>
      <c r="D44" s="6">
        <v>0.31736111111111115</v>
      </c>
      <c r="E44" s="6">
        <v>0.45763888888888887</v>
      </c>
      <c r="F44" s="6">
        <v>0.53055555555555556</v>
      </c>
      <c r="G44" s="7">
        <v>0.87222222222222223</v>
      </c>
      <c r="I44" s="9">
        <f t="shared" si="0"/>
        <v>0.55486111111111103</v>
      </c>
      <c r="J44" s="9">
        <f t="shared" si="1"/>
        <v>0.4819444444444444</v>
      </c>
      <c r="K44" s="8">
        <f t="shared" si="2"/>
        <v>7.291666666666663E-2</v>
      </c>
    </row>
    <row r="45" spans="1:12" x14ac:dyDescent="0.25">
      <c r="A45" s="2">
        <v>41</v>
      </c>
      <c r="B45" s="20">
        <v>99</v>
      </c>
      <c r="C45" s="5" t="s">
        <v>13</v>
      </c>
      <c r="D45" s="6"/>
      <c r="E45" s="6"/>
      <c r="F45" s="6"/>
      <c r="G45" s="7"/>
      <c r="I45" s="9" t="str">
        <f t="shared" si="0"/>
        <v>-</v>
      </c>
      <c r="J45" s="9" t="str">
        <f t="shared" si="1"/>
        <v>-</v>
      </c>
      <c r="K45" s="8" t="e">
        <f t="shared" si="2"/>
        <v>#VALUE!</v>
      </c>
    </row>
    <row r="46" spans="1:12" x14ac:dyDescent="0.25">
      <c r="A46" s="2">
        <v>42</v>
      </c>
      <c r="B46" s="21">
        <v>115</v>
      </c>
      <c r="C46" s="17" t="s">
        <v>38</v>
      </c>
      <c r="D46" s="6">
        <v>0.31875000000000003</v>
      </c>
      <c r="E46" s="1"/>
      <c r="F46" s="1"/>
      <c r="G46" s="7">
        <v>0.87777777777777777</v>
      </c>
      <c r="I46" s="9">
        <f t="shared" si="0"/>
        <v>0.55902777777777768</v>
      </c>
      <c r="J46" s="9" t="str">
        <f t="shared" si="1"/>
        <v>-</v>
      </c>
      <c r="K46" s="8" t="e">
        <f t="shared" si="2"/>
        <v>#VALUE!</v>
      </c>
      <c r="L46">
        <v>1.5</v>
      </c>
    </row>
    <row r="47" spans="1:12" x14ac:dyDescent="0.25">
      <c r="A47" s="2">
        <v>43</v>
      </c>
      <c r="B47" s="20">
        <v>117</v>
      </c>
      <c r="C47" s="17" t="s">
        <v>44</v>
      </c>
      <c r="D47" s="6">
        <v>0.31319444444444444</v>
      </c>
      <c r="E47" s="6">
        <v>0.65347222222222223</v>
      </c>
      <c r="F47" s="6">
        <v>0.71666666666666667</v>
      </c>
      <c r="G47" s="7">
        <v>0.87430555555555556</v>
      </c>
      <c r="I47" s="9">
        <f t="shared" si="0"/>
        <v>0.56111111111111112</v>
      </c>
      <c r="J47" s="9">
        <f t="shared" si="1"/>
        <v>0.49791666666666667</v>
      </c>
      <c r="K47" s="8">
        <f t="shared" si="2"/>
        <v>6.3194444444444442E-2</v>
      </c>
      <c r="L47">
        <v>1.5</v>
      </c>
    </row>
    <row r="48" spans="1:12" x14ac:dyDescent="0.25">
      <c r="A48" s="2">
        <v>44</v>
      </c>
      <c r="B48" s="20">
        <v>119</v>
      </c>
      <c r="C48" s="19" t="s">
        <v>8</v>
      </c>
      <c r="D48" s="6">
        <v>0.31388888888888888</v>
      </c>
      <c r="E48" s="6">
        <v>0.54236111111111118</v>
      </c>
      <c r="F48" s="6">
        <v>0.60902777777777783</v>
      </c>
      <c r="G48" s="7">
        <v>0.87083333333333324</v>
      </c>
      <c r="I48" s="9">
        <f t="shared" si="0"/>
        <v>0.55694444444444435</v>
      </c>
      <c r="J48" s="9">
        <f t="shared" si="1"/>
        <v>0.4902777777777777</v>
      </c>
      <c r="K48" s="8">
        <f t="shared" si="2"/>
        <v>6.6666666666666652E-2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0.31388888888888888</v>
      </c>
      <c r="E49" s="6"/>
      <c r="F49" s="6"/>
      <c r="G49" s="7">
        <v>0.82708333333333339</v>
      </c>
      <c r="I49" s="9">
        <f t="shared" si="0"/>
        <v>0.51319444444444451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/>
      <c r="E50" s="6"/>
      <c r="F50" s="6"/>
      <c r="G50" s="7">
        <v>0.88055555555555554</v>
      </c>
      <c r="I50" s="9" t="str">
        <f t="shared" si="0"/>
        <v>-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0.31527777777777777</v>
      </c>
      <c r="E51" s="6">
        <v>0.51736111111111105</v>
      </c>
      <c r="F51" s="6">
        <v>0.58680555555555558</v>
      </c>
      <c r="G51" s="7">
        <v>0.87569444444444444</v>
      </c>
      <c r="I51" s="9">
        <f t="shared" si="0"/>
        <v>0.56041666666666667</v>
      </c>
      <c r="J51" s="9">
        <f t="shared" si="1"/>
        <v>0.49097222222222214</v>
      </c>
      <c r="K51" s="8">
        <f t="shared" si="2"/>
        <v>6.9444444444444531E-2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0.31458333333333333</v>
      </c>
      <c r="E52" s="6"/>
      <c r="F52" s="6"/>
      <c r="G52" s="7"/>
      <c r="I52" s="9" t="str">
        <f t="shared" si="0"/>
        <v>-</v>
      </c>
      <c r="J52" s="9" t="str">
        <f t="shared" si="1"/>
        <v>-</v>
      </c>
      <c r="K52" s="8" t="e">
        <f t="shared" si="2"/>
        <v>#VALUE!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0.31041666666666667</v>
      </c>
      <c r="E54" s="6">
        <v>0.58888888888888891</v>
      </c>
      <c r="F54" s="6">
        <v>0.64930555555555558</v>
      </c>
      <c r="G54" s="7">
        <v>0.87638888888888899</v>
      </c>
      <c r="I54" s="9">
        <f t="shared" si="0"/>
        <v>0.56597222222222232</v>
      </c>
      <c r="J54" s="9">
        <f t="shared" si="1"/>
        <v>0.50555555555555565</v>
      </c>
      <c r="K54" s="8">
        <f t="shared" si="2"/>
        <v>6.0416666666666674E-2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0.31944444444444448</v>
      </c>
      <c r="E56" s="6">
        <v>0.6479166666666667</v>
      </c>
      <c r="F56" s="6">
        <v>0.70833333333333337</v>
      </c>
      <c r="G56" s="7">
        <v>0.87361111111111101</v>
      </c>
      <c r="I56" s="9">
        <f t="shared" si="0"/>
        <v>0.55416666666666647</v>
      </c>
      <c r="J56" s="9">
        <f t="shared" si="1"/>
        <v>0.49374999999999986</v>
      </c>
      <c r="K56" s="8">
        <f t="shared" si="2"/>
        <v>6.0416666666666619E-2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0.31458333333333333</v>
      </c>
      <c r="E57" s="6">
        <v>0.5708333333333333</v>
      </c>
      <c r="F57" s="6"/>
      <c r="G57" s="7">
        <v>0.87569444444444444</v>
      </c>
      <c r="I57" s="9">
        <f t="shared" si="0"/>
        <v>0.56111111111111112</v>
      </c>
      <c r="J57" s="9" t="str">
        <f t="shared" si="1"/>
        <v>-</v>
      </c>
      <c r="K57" s="8" t="e">
        <f t="shared" si="2"/>
        <v>#VALUE!</v>
      </c>
    </row>
    <row r="58" spans="1:11" x14ac:dyDescent="0.25">
      <c r="A58" s="2">
        <v>54</v>
      </c>
      <c r="B58" s="21">
        <v>157</v>
      </c>
      <c r="C58" s="19" t="s">
        <v>28</v>
      </c>
      <c r="D58" s="6"/>
      <c r="E58" s="6"/>
      <c r="F58" s="6"/>
      <c r="G58" s="7"/>
      <c r="I58" s="9" t="str">
        <f t="shared" si="0"/>
        <v>-</v>
      </c>
      <c r="J58" s="9" t="str">
        <f t="shared" si="1"/>
        <v>-</v>
      </c>
      <c r="K58" s="8" t="e">
        <f t="shared" si="2"/>
        <v>#VALUE!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>
        <v>0.3354166666666667</v>
      </c>
      <c r="E60" s="6"/>
      <c r="F60" s="6"/>
      <c r="G60" s="7">
        <v>0.6875</v>
      </c>
      <c r="I60" s="9">
        <f t="shared" si="0"/>
        <v>0.3520833333333333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0.31527777777777777</v>
      </c>
      <c r="E63" s="6">
        <v>0.52986111111111112</v>
      </c>
      <c r="F63" s="6">
        <v>0.59166666666666667</v>
      </c>
      <c r="G63" s="7">
        <v>0.87291666666666667</v>
      </c>
      <c r="I63" s="9">
        <f t="shared" si="0"/>
        <v>0.55763888888888891</v>
      </c>
      <c r="J63" s="9">
        <f t="shared" si="1"/>
        <v>0.49583333333333335</v>
      </c>
      <c r="K63" s="8">
        <f t="shared" si="2"/>
        <v>6.1805555555555558E-2</v>
      </c>
    </row>
    <row r="64" spans="1:11" x14ac:dyDescent="0.25">
      <c r="A64" s="2">
        <v>60</v>
      </c>
      <c r="B64" s="20">
        <v>175</v>
      </c>
      <c r="C64" s="17" t="s">
        <v>60</v>
      </c>
      <c r="D64" s="6"/>
      <c r="E64" s="6"/>
      <c r="F64" s="6"/>
      <c r="G64" s="6"/>
      <c r="I64" s="9" t="str">
        <f t="shared" si="0"/>
        <v>-</v>
      </c>
      <c r="J64" s="9" t="str">
        <f t="shared" si="1"/>
        <v>-</v>
      </c>
      <c r="K64" s="8" t="e">
        <f t="shared" si="2"/>
        <v>#VALUE!</v>
      </c>
    </row>
    <row r="65" spans="1:12" x14ac:dyDescent="0.25">
      <c r="A65" s="2">
        <v>61</v>
      </c>
      <c r="B65" s="20">
        <v>176</v>
      </c>
      <c r="C65" s="19" t="s">
        <v>66</v>
      </c>
      <c r="D65" s="6">
        <v>0.30694444444444441</v>
      </c>
      <c r="E65" s="1"/>
      <c r="F65" s="1"/>
      <c r="G65" s="6">
        <v>0.81666666666666676</v>
      </c>
      <c r="I65" s="9">
        <f t="shared" si="0"/>
        <v>0.50972222222222241</v>
      </c>
      <c r="J65" s="9" t="str">
        <f t="shared" si="1"/>
        <v>-</v>
      </c>
      <c r="K65" s="8" t="e">
        <f t="shared" si="2"/>
        <v>#VALUE!</v>
      </c>
    </row>
    <row r="66" spans="1:12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2" x14ac:dyDescent="0.25">
      <c r="A67" s="2">
        <v>63</v>
      </c>
      <c r="B67" s="20">
        <v>178</v>
      </c>
      <c r="C67" s="17" t="s">
        <v>70</v>
      </c>
      <c r="D67" s="6">
        <v>0.52013888888888882</v>
      </c>
      <c r="E67" s="6">
        <v>0.71875</v>
      </c>
      <c r="F67" s="6">
        <v>0.73888888888888893</v>
      </c>
      <c r="G67" s="6">
        <v>0.875</v>
      </c>
      <c r="I67" s="9">
        <f t="shared" si="0"/>
        <v>0.35486111111111118</v>
      </c>
      <c r="J67" s="9">
        <f t="shared" si="1"/>
        <v>0.33472222222222225</v>
      </c>
      <c r="K67" s="8">
        <f t="shared" si="2"/>
        <v>2.0138888888888928E-2</v>
      </c>
    </row>
    <row r="68" spans="1:12" x14ac:dyDescent="0.25">
      <c r="A68" s="2">
        <v>64</v>
      </c>
      <c r="B68" s="20">
        <v>179</v>
      </c>
      <c r="C68" s="17" t="s">
        <v>63</v>
      </c>
      <c r="D68" s="6">
        <v>0.31666666666666665</v>
      </c>
      <c r="E68" s="6">
        <v>0.65625</v>
      </c>
      <c r="F68" s="6">
        <v>0.71875</v>
      </c>
      <c r="G68" s="6">
        <v>0.87708333333333333</v>
      </c>
      <c r="I68" s="9">
        <f t="shared" si="0"/>
        <v>0.56041666666666667</v>
      </c>
      <c r="J68" s="9">
        <f t="shared" si="1"/>
        <v>0.49791666666666667</v>
      </c>
      <c r="K68" s="8">
        <f t="shared" si="2"/>
        <v>6.25E-2</v>
      </c>
      <c r="L68">
        <v>1.5</v>
      </c>
    </row>
    <row r="69" spans="1:12" x14ac:dyDescent="0.25">
      <c r="A69" s="2">
        <v>65</v>
      </c>
      <c r="B69" s="20">
        <v>180</v>
      </c>
      <c r="C69" s="17" t="s">
        <v>72</v>
      </c>
      <c r="D69" s="6">
        <v>0.31458333333333333</v>
      </c>
      <c r="E69" s="6">
        <v>0.53680555555555554</v>
      </c>
      <c r="F69" s="6">
        <v>0.55902777777777779</v>
      </c>
      <c r="G69" s="6">
        <v>0.6694444444444444</v>
      </c>
      <c r="I69" s="9">
        <f t="shared" si="0"/>
        <v>0.35486111111111107</v>
      </c>
      <c r="J69" s="9">
        <f t="shared" si="1"/>
        <v>0.33263888888888882</v>
      </c>
      <c r="K69" s="8">
        <f t="shared" si="2"/>
        <v>2.2222222222222254E-2</v>
      </c>
    </row>
    <row r="70" spans="1:12" x14ac:dyDescent="0.25">
      <c r="A70" s="2">
        <v>66</v>
      </c>
      <c r="B70" s="20">
        <v>181</v>
      </c>
      <c r="C70" s="17" t="s">
        <v>71</v>
      </c>
      <c r="D70" s="6"/>
      <c r="E70" s="6"/>
      <c r="F70" s="6"/>
      <c r="G70" s="6"/>
      <c r="I70" s="9" t="str">
        <f t="shared" ref="I70:I79" si="3">IF(AND(D70 &lt;&gt; "", G70 &lt;&gt; ""), G70 - D70, "-")</f>
        <v>-</v>
      </c>
      <c r="J70" s="9" t="str">
        <f t="shared" ref="J70:J79" si="4">IF(AND(D70 &lt;&gt; "", E70 &lt;&gt; "", F70 &lt;&gt; "", G70 &lt;&gt; ""), (E70 - D70)  + (G70 - F70), "-")</f>
        <v>-</v>
      </c>
      <c r="K70" s="8" t="e">
        <f t="shared" ref="K70:K79" si="5">SUM(I70-J70)</f>
        <v>#VALUE!</v>
      </c>
    </row>
    <row r="71" spans="1:12" x14ac:dyDescent="0.25">
      <c r="A71" s="2">
        <v>67</v>
      </c>
      <c r="B71" s="20">
        <v>182</v>
      </c>
      <c r="C71" s="17" t="s">
        <v>73</v>
      </c>
      <c r="D71" s="1"/>
      <c r="E71" s="1"/>
      <c r="F71" s="1"/>
      <c r="G71" s="1"/>
      <c r="I71" s="9" t="str">
        <f t="shared" si="3"/>
        <v>-</v>
      </c>
      <c r="J71" s="9" t="str">
        <f t="shared" si="4"/>
        <v>-</v>
      </c>
      <c r="K71" s="8" t="e">
        <f t="shared" si="5"/>
        <v>#VALUE!</v>
      </c>
    </row>
    <row r="72" spans="1:12" x14ac:dyDescent="0.25">
      <c r="A72" s="2">
        <v>68</v>
      </c>
      <c r="B72" s="23">
        <v>183</v>
      </c>
      <c r="C72" s="24" t="s">
        <v>74</v>
      </c>
      <c r="D72" s="35">
        <v>0.31666666666666665</v>
      </c>
      <c r="E72" s="35">
        <v>0.62569444444444444</v>
      </c>
      <c r="F72" s="35">
        <v>0.64652777777777781</v>
      </c>
      <c r="G72" s="35">
        <v>0.67013888888888884</v>
      </c>
      <c r="I72" s="9">
        <f t="shared" si="3"/>
        <v>0.35347222222222219</v>
      </c>
      <c r="J72" s="9">
        <f t="shared" si="4"/>
        <v>0.33263888888888882</v>
      </c>
      <c r="K72" s="8">
        <f t="shared" si="5"/>
        <v>2.083333333333337E-2</v>
      </c>
    </row>
    <row r="73" spans="1:12" x14ac:dyDescent="0.25">
      <c r="A73" s="2">
        <v>69</v>
      </c>
      <c r="B73" s="21">
        <v>185</v>
      </c>
      <c r="C73" s="32" t="s">
        <v>75</v>
      </c>
      <c r="D73" s="1"/>
      <c r="E73" s="1"/>
      <c r="F73" s="1"/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2" x14ac:dyDescent="0.25">
      <c r="A74" s="2">
        <v>70</v>
      </c>
      <c r="B74" s="21">
        <v>187</v>
      </c>
      <c r="C74" s="17" t="s">
        <v>76</v>
      </c>
      <c r="D74" s="6">
        <v>0.32083333333333336</v>
      </c>
      <c r="E74" s="6">
        <v>0.52500000000000002</v>
      </c>
      <c r="F74" s="6">
        <v>0.58888888888888891</v>
      </c>
      <c r="G74" s="6">
        <v>0.87986111111111109</v>
      </c>
      <c r="I74" s="9">
        <f t="shared" si="3"/>
        <v>0.55902777777777768</v>
      </c>
      <c r="J74" s="9">
        <f t="shared" si="4"/>
        <v>0.49513888888888885</v>
      </c>
      <c r="K74" s="8">
        <f t="shared" si="5"/>
        <v>6.3888888888888828E-2</v>
      </c>
      <c r="L74">
        <v>1.5</v>
      </c>
    </row>
    <row r="75" spans="1:12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2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2" x14ac:dyDescent="0.25">
      <c r="A77" s="2">
        <v>73</v>
      </c>
      <c r="B77" s="21">
        <v>190</v>
      </c>
      <c r="C77" s="32" t="s">
        <v>81</v>
      </c>
      <c r="D77" s="6">
        <v>0.31666666666666665</v>
      </c>
      <c r="E77" s="6">
        <v>0.66805555555555562</v>
      </c>
      <c r="F77" s="6">
        <v>0.74375000000000002</v>
      </c>
      <c r="G77" s="6">
        <v>0.87430555555555556</v>
      </c>
      <c r="I77" s="9">
        <f t="shared" si="3"/>
        <v>0.55763888888888891</v>
      </c>
      <c r="J77" s="9">
        <f t="shared" si="4"/>
        <v>0.48194444444444451</v>
      </c>
      <c r="K77" s="8">
        <f t="shared" si="5"/>
        <v>7.5694444444444398E-2</v>
      </c>
    </row>
    <row r="78" spans="1:12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2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41" priority="18">
      <formula>$I5 &lt; TIME(12,0,0)</formula>
    </cfRule>
  </conditionalFormatting>
  <conditionalFormatting sqref="A5:A78 I61:J79">
    <cfRule type="cellIs" dxfId="40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39" priority="4" operator="between">
      <formula>0.333333333333333</formula>
      <formula>0.375</formula>
    </cfRule>
  </conditionalFormatting>
  <conditionalFormatting sqref="D56:G56">
    <cfRule type="cellIs" dxfId="38" priority="14" operator="between">
      <formula>0.875694444444444</formula>
      <formula>0.999305555555556</formula>
    </cfRule>
    <cfRule type="cellIs" dxfId="37" priority="16" operator="between">
      <formula>0.333333333333333</formula>
      <formula>0.375</formula>
    </cfRule>
  </conditionalFormatting>
  <conditionalFormatting sqref="D5:J9">
    <cfRule type="expression" dxfId="36" priority="6">
      <formula>$I5 &lt; TIME(12,0,0)</formula>
    </cfRule>
  </conditionalFormatting>
  <conditionalFormatting sqref="D5:J12">
    <cfRule type="cellIs" dxfId="35" priority="5" operator="between">
      <formula>0.291666666666667</formula>
      <formula>0.315972222222222</formula>
    </cfRule>
  </conditionalFormatting>
  <conditionalFormatting sqref="D13:J53">
    <cfRule type="cellIs" dxfId="34" priority="1" operator="between">
      <formula>0.291666666666667</formula>
      <formula>0.315972222222222</formula>
    </cfRule>
    <cfRule type="expression" dxfId="33" priority="2">
      <formula>$I13 &lt; TIME(12,0,0)</formula>
    </cfRule>
  </conditionalFormatting>
  <conditionalFormatting sqref="D54:J58">
    <cfRule type="cellIs" dxfId="32" priority="15" operator="between">
      <formula>0.291666666666667</formula>
      <formula>0.315972222222222</formula>
    </cfRule>
  </conditionalFormatting>
  <conditionalFormatting sqref="D59:J60">
    <cfRule type="cellIs" dxfId="31" priority="11" operator="between">
      <formula>0.291666666666667</formula>
      <formula>0.315972222222222</formula>
    </cfRule>
    <cfRule type="expression" dxfId="30" priority="12">
      <formula>$I59 &lt; TIME(12,0,0)</formula>
    </cfRule>
  </conditionalFormatting>
  <conditionalFormatting sqref="G10">
    <cfRule type="cellIs" dxfId="29" priority="3" operator="between">
      <formula>0.875694444444444</formula>
      <formula>0.978472222222222</formula>
    </cfRule>
  </conditionalFormatting>
  <conditionalFormatting sqref="G56">
    <cfRule type="cellIs" dxfId="28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8794-E163-4D7A-B6BA-3393FE51368E}">
  <dimension ref="A2:M79"/>
  <sheetViews>
    <sheetView workbookViewId="0">
      <pane ySplit="3" topLeftCell="A70" activePane="bottomLeft" state="frozen"/>
      <selection pane="bottomLeft" activeCell="L29" sqref="L29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1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1" ht="135" x14ac:dyDescent="0.25">
      <c r="A3" s="10"/>
      <c r="B3" s="22"/>
      <c r="C3" s="27" t="s">
        <v>0</v>
      </c>
      <c r="D3" s="27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1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1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1" x14ac:dyDescent="0.25">
      <c r="A6" s="2">
        <v>2</v>
      </c>
      <c r="B6" s="20">
        <v>3</v>
      </c>
      <c r="C6" s="5" t="s">
        <v>24</v>
      </c>
      <c r="D6" s="6">
        <v>0.31527777777777777</v>
      </c>
      <c r="E6" s="6">
        <v>0.62916666666666665</v>
      </c>
      <c r="F6" s="6">
        <v>0.69305555555555554</v>
      </c>
      <c r="G6" s="7">
        <v>0.87430555555555556</v>
      </c>
      <c r="I6" s="9">
        <f t="shared" ref="I6:I69" si="0">IF(AND(D6 &lt;&gt; "", G6 &lt;&gt; ""), G6 - D6, "-")</f>
        <v>0.55902777777777779</v>
      </c>
      <c r="J6" s="9">
        <f t="shared" ref="J6:J69" si="1">IF(AND(D6 &lt;&gt; "", E6 &lt;&gt; "", F6 &lt;&gt; "", G6 &lt;&gt; ""), (E6 - D6)  + (G6 - F6), "-")</f>
        <v>0.49513888888888891</v>
      </c>
      <c r="K6" s="8">
        <f t="shared" ref="K6:K69" si="2">SUM(I6-J6)</f>
        <v>6.3888888888888884E-2</v>
      </c>
    </row>
    <row r="7" spans="1:11" x14ac:dyDescent="0.25">
      <c r="A7" s="2">
        <v>3</v>
      </c>
      <c r="B7" s="20">
        <v>6</v>
      </c>
      <c r="C7" s="19" t="s">
        <v>69</v>
      </c>
      <c r="D7" s="6">
        <v>0.5541666666666667</v>
      </c>
      <c r="E7" s="6"/>
      <c r="F7" s="6"/>
      <c r="G7" s="7">
        <v>0.88055555555555554</v>
      </c>
      <c r="I7" s="9">
        <f t="shared" si="0"/>
        <v>0.32638888888888884</v>
      </c>
      <c r="J7" s="9" t="str">
        <f t="shared" si="1"/>
        <v>-</v>
      </c>
      <c r="K7" s="8" t="e">
        <f t="shared" si="2"/>
        <v>#VALUE!</v>
      </c>
    </row>
    <row r="8" spans="1:11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1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1" x14ac:dyDescent="0.25">
      <c r="A10" s="2">
        <v>6</v>
      </c>
      <c r="B10" s="20">
        <v>10</v>
      </c>
      <c r="C10" s="5" t="s">
        <v>11</v>
      </c>
      <c r="D10" s="6">
        <v>0.31180555555555556</v>
      </c>
      <c r="E10" s="6">
        <v>0.46597222222222223</v>
      </c>
      <c r="F10" s="6">
        <v>0.5180555555555556</v>
      </c>
      <c r="G10" s="7">
        <v>0.85625000000000007</v>
      </c>
      <c r="I10" s="9">
        <f t="shared" si="0"/>
        <v>0.54444444444444451</v>
      </c>
      <c r="J10" s="9">
        <f t="shared" si="1"/>
        <v>0.49236111111111114</v>
      </c>
      <c r="K10" s="8">
        <f t="shared" si="2"/>
        <v>5.208333333333337E-2</v>
      </c>
    </row>
    <row r="11" spans="1:11" x14ac:dyDescent="0.25">
      <c r="A11" s="2">
        <v>7</v>
      </c>
      <c r="B11" s="20">
        <v>12</v>
      </c>
      <c r="C11" s="5" t="s">
        <v>7</v>
      </c>
      <c r="D11" s="6">
        <v>0.34166666666666662</v>
      </c>
      <c r="E11" s="6">
        <v>0.55069444444444449</v>
      </c>
      <c r="F11" s="6">
        <v>0.63541666666666663</v>
      </c>
      <c r="G11" s="7"/>
      <c r="I11" s="9" t="str">
        <f t="shared" si="0"/>
        <v>-</v>
      </c>
      <c r="J11" s="9" t="str">
        <f t="shared" si="1"/>
        <v>-</v>
      </c>
      <c r="K11" s="8" t="e">
        <f t="shared" si="2"/>
        <v>#VALUE!</v>
      </c>
    </row>
    <row r="12" spans="1:11" x14ac:dyDescent="0.25">
      <c r="A12" s="2">
        <v>8</v>
      </c>
      <c r="B12" s="20">
        <v>13</v>
      </c>
      <c r="C12" s="19" t="s">
        <v>33</v>
      </c>
      <c r="D12" s="6">
        <v>0.62430555555555556</v>
      </c>
      <c r="E12" s="6"/>
      <c r="F12" s="6"/>
      <c r="G12" s="7">
        <v>0.87152777777777779</v>
      </c>
      <c r="I12" s="9">
        <f t="shared" si="0"/>
        <v>0.24722222222222223</v>
      </c>
      <c r="J12" s="9" t="str">
        <f t="shared" si="1"/>
        <v>-</v>
      </c>
      <c r="K12" s="8" t="e">
        <f t="shared" si="2"/>
        <v>#VALUE!</v>
      </c>
    </row>
    <row r="13" spans="1:11" x14ac:dyDescent="0.25">
      <c r="A13" s="2">
        <v>9</v>
      </c>
      <c r="B13" s="20">
        <v>14</v>
      </c>
      <c r="C13" s="17" t="s">
        <v>46</v>
      </c>
      <c r="D13" s="6">
        <v>0.60069444444444442</v>
      </c>
      <c r="E13" s="6"/>
      <c r="F13" s="6"/>
      <c r="G13" s="7">
        <v>0.76597222222222217</v>
      </c>
      <c r="I13" s="9">
        <f t="shared" si="0"/>
        <v>0.16527777777777775</v>
      </c>
      <c r="J13" s="9" t="str">
        <f t="shared" si="1"/>
        <v>-</v>
      </c>
      <c r="K13" s="8" t="e">
        <f t="shared" si="2"/>
        <v>#VALUE!</v>
      </c>
    </row>
    <row r="14" spans="1:11" x14ac:dyDescent="0.25">
      <c r="A14" s="2">
        <v>10</v>
      </c>
      <c r="B14" s="20">
        <v>15</v>
      </c>
      <c r="C14" s="17" t="s">
        <v>43</v>
      </c>
      <c r="D14" s="6">
        <v>0.5180555555555556</v>
      </c>
      <c r="E14" s="6">
        <v>0.63402777777777775</v>
      </c>
      <c r="F14" s="6">
        <v>0.65694444444444444</v>
      </c>
      <c r="G14" s="7">
        <v>0.87013888888888891</v>
      </c>
      <c r="I14" s="9">
        <f t="shared" si="0"/>
        <v>0.3520833333333333</v>
      </c>
      <c r="J14" s="9">
        <f t="shared" si="1"/>
        <v>0.32916666666666661</v>
      </c>
      <c r="K14" s="8">
        <f t="shared" si="2"/>
        <v>2.2916666666666696E-2</v>
      </c>
    </row>
    <row r="15" spans="1:11" x14ac:dyDescent="0.25">
      <c r="A15" s="2">
        <v>11</v>
      </c>
      <c r="B15" s="20">
        <v>17</v>
      </c>
      <c r="C15" s="5" t="s">
        <v>54</v>
      </c>
      <c r="D15" s="6">
        <v>0.3354166666666667</v>
      </c>
      <c r="E15" s="6">
        <v>0.52638888888888891</v>
      </c>
      <c r="F15" s="6"/>
      <c r="G15" s="7"/>
      <c r="I15" s="9" t="str">
        <f t="shared" si="0"/>
        <v>-</v>
      </c>
      <c r="J15" s="9" t="str">
        <f t="shared" si="1"/>
        <v>-</v>
      </c>
      <c r="K15" s="8" t="e">
        <f t="shared" si="2"/>
        <v>#VALUE!</v>
      </c>
    </row>
    <row r="16" spans="1:11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0.46249999999999997</v>
      </c>
      <c r="F16" s="6">
        <v>0.55625000000000002</v>
      </c>
      <c r="G16" s="7">
        <v>0.8354166666666667</v>
      </c>
      <c r="I16" s="9">
        <f t="shared" si="0"/>
        <v>0.52222222222222225</v>
      </c>
      <c r="J16" s="9">
        <f t="shared" si="1"/>
        <v>0.4284722222222222</v>
      </c>
      <c r="K16" s="8">
        <f t="shared" si="2"/>
        <v>9.3750000000000056E-2</v>
      </c>
    </row>
    <row r="17" spans="1:12" x14ac:dyDescent="0.25">
      <c r="A17" s="2">
        <v>13</v>
      </c>
      <c r="B17" s="20">
        <v>19</v>
      </c>
      <c r="C17" s="19" t="s">
        <v>27</v>
      </c>
      <c r="D17" s="6">
        <v>0.3125</v>
      </c>
      <c r="E17" s="6">
        <v>0.65486111111111112</v>
      </c>
      <c r="F17" s="6">
        <v>0.71875</v>
      </c>
      <c r="G17" s="7">
        <v>0.87361111111111101</v>
      </c>
      <c r="I17" s="9">
        <f t="shared" si="0"/>
        <v>0.56111111111111101</v>
      </c>
      <c r="J17" s="9">
        <f t="shared" si="1"/>
        <v>0.49722222222222212</v>
      </c>
      <c r="K17" s="8">
        <f t="shared" si="2"/>
        <v>6.3888888888888884E-2</v>
      </c>
    </row>
    <row r="18" spans="1:12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2" x14ac:dyDescent="0.25">
      <c r="A19" s="2">
        <v>15</v>
      </c>
      <c r="B19" s="20">
        <v>23</v>
      </c>
      <c r="C19" s="5" t="s">
        <v>36</v>
      </c>
      <c r="D19" s="6">
        <v>0.31180555555555556</v>
      </c>
      <c r="E19" s="6">
        <v>0.65138888888888891</v>
      </c>
      <c r="F19" s="6"/>
      <c r="G19" s="7"/>
      <c r="I19" s="9" t="str">
        <f t="shared" si="0"/>
        <v>-</v>
      </c>
      <c r="J19" s="9" t="str">
        <f t="shared" si="1"/>
        <v>-</v>
      </c>
      <c r="K19" s="8" t="e">
        <f t="shared" si="2"/>
        <v>#VALUE!</v>
      </c>
    </row>
    <row r="20" spans="1:12" x14ac:dyDescent="0.25">
      <c r="A20" s="2">
        <v>16</v>
      </c>
      <c r="B20" s="20">
        <v>24</v>
      </c>
      <c r="C20" s="17" t="s">
        <v>40</v>
      </c>
      <c r="D20" s="6">
        <v>0.56319444444444444</v>
      </c>
      <c r="E20" s="6"/>
      <c r="F20" s="6"/>
      <c r="G20" s="7">
        <v>0.91805555555555562</v>
      </c>
      <c r="I20" s="9">
        <f t="shared" si="0"/>
        <v>0.35486111111111118</v>
      </c>
      <c r="J20" s="9" t="str">
        <f t="shared" si="1"/>
        <v>-</v>
      </c>
      <c r="K20" s="8" t="e">
        <f t="shared" si="2"/>
        <v>#VALUE!</v>
      </c>
    </row>
    <row r="21" spans="1:12" x14ac:dyDescent="0.25">
      <c r="A21" s="2">
        <v>17</v>
      </c>
      <c r="B21" s="20">
        <v>25</v>
      </c>
      <c r="C21" s="5" t="s">
        <v>41</v>
      </c>
      <c r="D21" s="6">
        <v>0.31388888888888888</v>
      </c>
      <c r="E21" s="6">
        <v>0.53125</v>
      </c>
      <c r="F21" s="6">
        <v>0.60763888888888895</v>
      </c>
      <c r="G21" s="7">
        <v>0.96458333333333324</v>
      </c>
      <c r="I21" s="9">
        <f t="shared" si="0"/>
        <v>0.65069444444444435</v>
      </c>
      <c r="J21" s="9">
        <f t="shared" si="1"/>
        <v>0.5743055555555554</v>
      </c>
      <c r="K21" s="8">
        <f t="shared" si="2"/>
        <v>7.6388888888888951E-2</v>
      </c>
    </row>
    <row r="22" spans="1:12" x14ac:dyDescent="0.25">
      <c r="A22" s="2">
        <v>18</v>
      </c>
      <c r="B22" s="21">
        <v>29</v>
      </c>
      <c r="C22" s="19" t="s">
        <v>19</v>
      </c>
      <c r="D22" s="6">
        <v>0.31111111111111112</v>
      </c>
      <c r="E22" s="6">
        <v>0.51111111111111118</v>
      </c>
      <c r="F22" s="6">
        <v>0.57500000000000007</v>
      </c>
      <c r="G22" s="7">
        <v>0.87430555555555556</v>
      </c>
      <c r="I22" s="9">
        <f t="shared" si="0"/>
        <v>0.56319444444444444</v>
      </c>
      <c r="J22" s="9">
        <f t="shared" si="1"/>
        <v>0.49930555555555556</v>
      </c>
      <c r="K22" s="8">
        <f t="shared" si="2"/>
        <v>6.3888888888888884E-2</v>
      </c>
    </row>
    <row r="23" spans="1:12" x14ac:dyDescent="0.25">
      <c r="A23" s="2">
        <v>19</v>
      </c>
      <c r="B23" s="20">
        <v>30</v>
      </c>
      <c r="C23" s="5" t="s">
        <v>30</v>
      </c>
      <c r="D23" s="6">
        <v>0.31736111111111115</v>
      </c>
      <c r="E23" s="6">
        <v>0.48472222222222222</v>
      </c>
      <c r="F23" s="6">
        <v>0.56180555555555556</v>
      </c>
      <c r="G23" s="7">
        <v>0.87847222222222221</v>
      </c>
      <c r="I23" s="9">
        <f t="shared" si="0"/>
        <v>0.56111111111111112</v>
      </c>
      <c r="J23" s="9">
        <f t="shared" si="1"/>
        <v>0.48402777777777772</v>
      </c>
      <c r="K23" s="8">
        <f t="shared" si="2"/>
        <v>7.7083333333333393E-2</v>
      </c>
    </row>
    <row r="24" spans="1:12" x14ac:dyDescent="0.25">
      <c r="A24" s="2">
        <v>20</v>
      </c>
      <c r="B24" s="20">
        <v>31</v>
      </c>
      <c r="C24" s="5" t="s">
        <v>14</v>
      </c>
      <c r="D24" s="6">
        <v>0.31180555555555556</v>
      </c>
      <c r="E24" s="6">
        <v>0.56666666666666665</v>
      </c>
      <c r="F24" s="6">
        <v>0.63194444444444442</v>
      </c>
      <c r="G24" s="7">
        <v>0.87638888888888899</v>
      </c>
      <c r="I24" s="9">
        <f t="shared" si="0"/>
        <v>0.56458333333333344</v>
      </c>
      <c r="J24" s="9">
        <f t="shared" si="1"/>
        <v>0.49930555555555567</v>
      </c>
      <c r="K24" s="8">
        <f t="shared" si="2"/>
        <v>6.5277777777777768E-2</v>
      </c>
    </row>
    <row r="25" spans="1:12" x14ac:dyDescent="0.25">
      <c r="A25" s="2">
        <v>21</v>
      </c>
      <c r="B25" s="21">
        <v>32</v>
      </c>
      <c r="C25" s="19" t="s">
        <v>17</v>
      </c>
      <c r="D25" s="6">
        <v>0.3215277777777778</v>
      </c>
      <c r="E25" s="6">
        <v>0.45416666666666666</v>
      </c>
      <c r="F25" s="6">
        <v>0.52152777777777781</v>
      </c>
      <c r="G25" s="7">
        <v>0.8027777777777777</v>
      </c>
      <c r="I25" s="9">
        <f t="shared" si="0"/>
        <v>0.4812499999999999</v>
      </c>
      <c r="J25" s="9">
        <f t="shared" si="1"/>
        <v>0.41388888888888875</v>
      </c>
      <c r="K25" s="8">
        <f t="shared" si="2"/>
        <v>6.7361111111111149E-2</v>
      </c>
    </row>
    <row r="26" spans="1:12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2" x14ac:dyDescent="0.25">
      <c r="A27" s="2">
        <v>23</v>
      </c>
      <c r="B27" s="20">
        <v>34</v>
      </c>
      <c r="C27" s="32" t="s">
        <v>23</v>
      </c>
      <c r="D27" s="6">
        <v>0.75347222222222221</v>
      </c>
      <c r="E27" s="6"/>
      <c r="F27" s="6">
        <v>0.75347222222222221</v>
      </c>
      <c r="G27" s="7">
        <v>0.96805555555555556</v>
      </c>
      <c r="I27" s="9">
        <f t="shared" si="0"/>
        <v>0.21458333333333335</v>
      </c>
      <c r="J27" s="9" t="str">
        <f t="shared" si="1"/>
        <v>-</v>
      </c>
      <c r="K27" s="8" t="e">
        <f t="shared" si="2"/>
        <v>#VALUE!</v>
      </c>
    </row>
    <row r="28" spans="1:12" x14ac:dyDescent="0.25">
      <c r="A28" s="2">
        <v>24</v>
      </c>
      <c r="B28" s="20">
        <v>35</v>
      </c>
      <c r="C28" s="5" t="s">
        <v>5</v>
      </c>
      <c r="D28" s="6">
        <v>0.31944444444444448</v>
      </c>
      <c r="E28" s="6">
        <v>0.60763888888888895</v>
      </c>
      <c r="F28" s="6">
        <v>0.6875</v>
      </c>
      <c r="G28" s="7">
        <v>0.85625000000000007</v>
      </c>
      <c r="I28" s="9">
        <f t="shared" si="0"/>
        <v>0.53680555555555554</v>
      </c>
      <c r="J28" s="9">
        <f t="shared" si="1"/>
        <v>0.45694444444444454</v>
      </c>
      <c r="K28" s="8">
        <f t="shared" si="2"/>
        <v>7.9861111111110994E-2</v>
      </c>
      <c r="L28" s="8">
        <v>2.0833333333333332E-2</v>
      </c>
    </row>
    <row r="29" spans="1:12" x14ac:dyDescent="0.25">
      <c r="A29" s="2">
        <v>25</v>
      </c>
      <c r="B29" s="20">
        <v>38</v>
      </c>
      <c r="C29" s="5" t="s">
        <v>57</v>
      </c>
      <c r="D29" s="6">
        <v>0.31180555555555556</v>
      </c>
      <c r="E29" s="6"/>
      <c r="F29" s="6"/>
      <c r="G29" s="7"/>
      <c r="I29" s="9" t="str">
        <f t="shared" si="0"/>
        <v>-</v>
      </c>
      <c r="J29" s="9" t="str">
        <f t="shared" si="1"/>
        <v>-</v>
      </c>
      <c r="K29" s="8" t="e">
        <f t="shared" si="2"/>
        <v>#VALUE!</v>
      </c>
      <c r="L29" s="8"/>
    </row>
    <row r="30" spans="1:12" x14ac:dyDescent="0.25">
      <c r="A30" s="2">
        <v>26</v>
      </c>
      <c r="B30" s="20">
        <v>40</v>
      </c>
      <c r="C30" s="5" t="s">
        <v>16</v>
      </c>
      <c r="D30" s="6">
        <v>0.31180555555555556</v>
      </c>
      <c r="E30" s="6"/>
      <c r="F30" s="6"/>
      <c r="G30" s="7">
        <v>0.64652777777777781</v>
      </c>
      <c r="I30" s="9">
        <f t="shared" si="0"/>
        <v>0.33472222222222225</v>
      </c>
      <c r="J30" s="9" t="str">
        <f t="shared" si="1"/>
        <v>-</v>
      </c>
      <c r="K30" s="8" t="e">
        <f t="shared" si="2"/>
        <v>#VALUE!</v>
      </c>
      <c r="L30" s="36"/>
    </row>
    <row r="31" spans="1:12" x14ac:dyDescent="0.25">
      <c r="A31" s="2">
        <v>27</v>
      </c>
      <c r="B31" s="21">
        <v>44</v>
      </c>
      <c r="C31" s="19" t="s">
        <v>20</v>
      </c>
      <c r="D31" s="6">
        <v>0.31180555555555556</v>
      </c>
      <c r="E31" s="6">
        <v>0.50347222222222221</v>
      </c>
      <c r="F31" s="6">
        <v>0.56805555555555554</v>
      </c>
      <c r="G31" s="7">
        <v>0.88055555555555554</v>
      </c>
      <c r="I31" s="9">
        <f t="shared" si="0"/>
        <v>0.56874999999999998</v>
      </c>
      <c r="J31" s="9">
        <f t="shared" si="1"/>
        <v>0.50416666666666665</v>
      </c>
      <c r="K31" s="8">
        <f t="shared" si="2"/>
        <v>6.4583333333333326E-2</v>
      </c>
    </row>
    <row r="32" spans="1:12" x14ac:dyDescent="0.25">
      <c r="A32" s="2">
        <v>28</v>
      </c>
      <c r="B32" s="20">
        <v>56</v>
      </c>
      <c r="C32" s="5" t="s">
        <v>15</v>
      </c>
      <c r="D32" s="6">
        <v>0.31319444444444444</v>
      </c>
      <c r="E32" s="6">
        <v>0.55208333333333337</v>
      </c>
      <c r="F32" s="6">
        <v>0.61875000000000002</v>
      </c>
      <c r="G32" s="7">
        <v>0.88055555555555554</v>
      </c>
      <c r="I32" s="9">
        <f t="shared" si="0"/>
        <v>0.56736111111111109</v>
      </c>
      <c r="J32" s="9">
        <f t="shared" si="1"/>
        <v>0.50069444444444444</v>
      </c>
      <c r="K32" s="8">
        <f t="shared" si="2"/>
        <v>6.6666666666666652E-2</v>
      </c>
    </row>
    <row r="33" spans="1:13" x14ac:dyDescent="0.25">
      <c r="A33" s="2">
        <v>29</v>
      </c>
      <c r="B33" s="21">
        <v>58</v>
      </c>
      <c r="C33" s="19" t="s">
        <v>18</v>
      </c>
      <c r="D33" s="6">
        <v>0.31041666666666667</v>
      </c>
      <c r="E33" s="6">
        <v>0.65625</v>
      </c>
      <c r="F33" s="6"/>
      <c r="G33" s="7">
        <v>0.65625</v>
      </c>
      <c r="I33" s="9">
        <f t="shared" si="0"/>
        <v>0.34583333333333333</v>
      </c>
      <c r="J33" s="9" t="str">
        <f t="shared" si="1"/>
        <v>-</v>
      </c>
      <c r="K33" s="8" t="e">
        <f t="shared" si="2"/>
        <v>#VALUE!</v>
      </c>
      <c r="M33">
        <v>0.67</v>
      </c>
    </row>
    <row r="34" spans="1:13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3" x14ac:dyDescent="0.25">
      <c r="A35" s="2">
        <v>31</v>
      </c>
      <c r="B35" s="20">
        <v>69</v>
      </c>
      <c r="C35" s="17" t="s">
        <v>55</v>
      </c>
      <c r="D35" s="6">
        <v>0.41041666666666665</v>
      </c>
      <c r="E35" s="6"/>
      <c r="F35" s="6"/>
      <c r="G35" s="7">
        <v>0.70138888888888884</v>
      </c>
      <c r="I35" s="9">
        <f t="shared" si="0"/>
        <v>0.29097222222222219</v>
      </c>
      <c r="J35" s="9" t="str">
        <f t="shared" si="1"/>
        <v>-</v>
      </c>
      <c r="K35" s="8" t="e">
        <f t="shared" si="2"/>
        <v>#VALUE!</v>
      </c>
    </row>
    <row r="36" spans="1:13" x14ac:dyDescent="0.25">
      <c r="A36" s="2">
        <v>32</v>
      </c>
      <c r="B36" s="20">
        <v>72</v>
      </c>
      <c r="C36" s="17" t="s">
        <v>45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3" x14ac:dyDescent="0.25">
      <c r="A37" s="2">
        <v>33</v>
      </c>
      <c r="B37" s="21">
        <v>75</v>
      </c>
      <c r="C37" s="19" t="s">
        <v>34</v>
      </c>
      <c r="D37" s="6">
        <v>0.31319444444444444</v>
      </c>
      <c r="E37" s="6">
        <v>0.63750000000000007</v>
      </c>
      <c r="F37" s="6">
        <v>0.6958333333333333</v>
      </c>
      <c r="G37" s="7">
        <v>0.87569444444444444</v>
      </c>
      <c r="I37" s="9">
        <f t="shared" si="0"/>
        <v>0.5625</v>
      </c>
      <c r="J37" s="9">
        <f t="shared" si="1"/>
        <v>0.50416666666666676</v>
      </c>
      <c r="K37" s="8">
        <f t="shared" si="2"/>
        <v>5.8333333333333237E-2</v>
      </c>
    </row>
    <row r="38" spans="1:13" x14ac:dyDescent="0.25">
      <c r="A38" s="2">
        <v>34</v>
      </c>
      <c r="B38" s="20">
        <v>76</v>
      </c>
      <c r="C38" s="19" t="s">
        <v>29</v>
      </c>
      <c r="D38" s="6">
        <v>0.3125</v>
      </c>
      <c r="E38" s="6">
        <v>0.69027777777777777</v>
      </c>
      <c r="F38" s="6">
        <v>0.75763888888888886</v>
      </c>
      <c r="G38" s="7">
        <v>0.87152777777777779</v>
      </c>
      <c r="I38" s="9">
        <f t="shared" si="0"/>
        <v>0.55902777777777779</v>
      </c>
      <c r="J38" s="9">
        <f t="shared" si="1"/>
        <v>0.4916666666666667</v>
      </c>
      <c r="K38" s="8">
        <f t="shared" si="2"/>
        <v>6.7361111111111094E-2</v>
      </c>
    </row>
    <row r="39" spans="1:13" x14ac:dyDescent="0.25">
      <c r="A39" s="2">
        <v>35</v>
      </c>
      <c r="B39" s="20">
        <v>77</v>
      </c>
      <c r="C39" s="17" t="s">
        <v>42</v>
      </c>
      <c r="D39" s="6"/>
      <c r="E39" s="6"/>
      <c r="F39" s="6"/>
      <c r="G39" s="7"/>
      <c r="I39" s="9" t="str">
        <f t="shared" si="0"/>
        <v>-</v>
      </c>
      <c r="J39" s="9" t="str">
        <f t="shared" si="1"/>
        <v>-</v>
      </c>
      <c r="K39" s="8" t="e">
        <f t="shared" si="2"/>
        <v>#VALUE!</v>
      </c>
    </row>
    <row r="40" spans="1:13" x14ac:dyDescent="0.25">
      <c r="A40" s="2">
        <v>36</v>
      </c>
      <c r="B40" s="21">
        <v>83</v>
      </c>
      <c r="C40" s="19" t="s">
        <v>31</v>
      </c>
      <c r="D40" s="6">
        <v>0.39652777777777781</v>
      </c>
      <c r="E40" s="6">
        <v>0.64444444444444449</v>
      </c>
      <c r="F40" s="6">
        <v>0.71944444444444444</v>
      </c>
      <c r="G40" s="7">
        <v>0.88680555555555562</v>
      </c>
      <c r="I40" s="9">
        <f t="shared" si="0"/>
        <v>0.49027777777777781</v>
      </c>
      <c r="J40" s="9">
        <f t="shared" si="1"/>
        <v>0.41527777777777786</v>
      </c>
      <c r="K40" s="8">
        <f t="shared" si="2"/>
        <v>7.4999999999999956E-2</v>
      </c>
    </row>
    <row r="41" spans="1:13" x14ac:dyDescent="0.25">
      <c r="A41" s="2">
        <v>37</v>
      </c>
      <c r="B41" s="21">
        <v>87</v>
      </c>
      <c r="C41" s="19" t="s">
        <v>47</v>
      </c>
      <c r="D41" s="6"/>
      <c r="E41" s="6"/>
      <c r="F41" s="6"/>
      <c r="G41" s="7"/>
      <c r="I41" s="9" t="str">
        <f t="shared" si="0"/>
        <v>-</v>
      </c>
      <c r="J41" s="9" t="str">
        <f t="shared" si="1"/>
        <v>-</v>
      </c>
      <c r="K41" s="8" t="e">
        <f t="shared" si="2"/>
        <v>#VALUE!</v>
      </c>
    </row>
    <row r="42" spans="1:13" x14ac:dyDescent="0.25">
      <c r="A42" s="2">
        <v>38</v>
      </c>
      <c r="B42" s="20">
        <v>90</v>
      </c>
      <c r="C42" s="5" t="s">
        <v>25</v>
      </c>
      <c r="D42" s="6">
        <v>0.33055555555555555</v>
      </c>
      <c r="E42" s="6">
        <v>0.65208333333333335</v>
      </c>
      <c r="F42" s="6">
        <v>0.71458333333333324</v>
      </c>
      <c r="G42" s="7">
        <v>0.87430555555555556</v>
      </c>
      <c r="I42" s="9">
        <f t="shared" si="0"/>
        <v>0.54374999999999996</v>
      </c>
      <c r="J42" s="9">
        <f t="shared" si="1"/>
        <v>0.48125000000000012</v>
      </c>
      <c r="K42" s="8">
        <f t="shared" si="2"/>
        <v>6.2499999999999833E-2</v>
      </c>
    </row>
    <row r="43" spans="1:13" x14ac:dyDescent="0.25">
      <c r="A43" s="2">
        <v>39</v>
      </c>
      <c r="B43" s="20">
        <v>91</v>
      </c>
      <c r="C43" s="32" t="s">
        <v>37</v>
      </c>
      <c r="D43" s="6">
        <v>0.49583333333333335</v>
      </c>
      <c r="E43" s="6">
        <v>0.75902777777777775</v>
      </c>
      <c r="F43" s="6"/>
      <c r="G43" s="7">
        <v>0.9555555555555556</v>
      </c>
      <c r="I43" s="9">
        <f t="shared" si="0"/>
        <v>0.45972222222222225</v>
      </c>
      <c r="J43" s="9" t="str">
        <f t="shared" si="1"/>
        <v>-</v>
      </c>
      <c r="K43" s="8" t="e">
        <f t="shared" si="2"/>
        <v>#VALUE!</v>
      </c>
    </row>
    <row r="44" spans="1:13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3" x14ac:dyDescent="0.25">
      <c r="A45" s="2">
        <v>41</v>
      </c>
      <c r="B45" s="20">
        <v>99</v>
      </c>
      <c r="C45" s="5" t="s">
        <v>13</v>
      </c>
      <c r="D45" s="6">
        <v>0.62291666666666667</v>
      </c>
      <c r="E45" s="6"/>
      <c r="F45" s="6"/>
      <c r="G45" s="7">
        <v>0.87916666666666676</v>
      </c>
      <c r="I45" s="9">
        <f t="shared" si="0"/>
        <v>0.25625000000000009</v>
      </c>
      <c r="J45" s="9" t="str">
        <f t="shared" si="1"/>
        <v>-</v>
      </c>
      <c r="K45" s="8" t="e">
        <f t="shared" si="2"/>
        <v>#VALUE!</v>
      </c>
    </row>
    <row r="46" spans="1:13" x14ac:dyDescent="0.25">
      <c r="A46" s="2">
        <v>42</v>
      </c>
      <c r="B46" s="21">
        <v>115</v>
      </c>
      <c r="C46" s="17" t="s">
        <v>38</v>
      </c>
      <c r="D46" s="6">
        <v>0.3215277777777778</v>
      </c>
      <c r="E46" s="1"/>
      <c r="F46" s="1"/>
      <c r="G46" s="7">
        <v>0.68194444444444446</v>
      </c>
      <c r="I46" s="9">
        <f t="shared" si="0"/>
        <v>0.36041666666666666</v>
      </c>
      <c r="J46" s="9" t="str">
        <f t="shared" si="1"/>
        <v>-</v>
      </c>
      <c r="K46" s="8" t="e">
        <f t="shared" si="2"/>
        <v>#VALUE!</v>
      </c>
    </row>
    <row r="47" spans="1:13" x14ac:dyDescent="0.25">
      <c r="A47" s="2">
        <v>43</v>
      </c>
      <c r="B47" s="20">
        <v>117</v>
      </c>
      <c r="C47" s="17" t="s">
        <v>44</v>
      </c>
      <c r="D47" s="6">
        <v>0.3125</v>
      </c>
      <c r="E47" s="6"/>
      <c r="F47" s="6"/>
      <c r="G47" s="7">
        <v>0.68055555555555547</v>
      </c>
      <c r="I47" s="9">
        <f t="shared" si="0"/>
        <v>0.36805555555555547</v>
      </c>
      <c r="J47" s="9" t="str">
        <f t="shared" si="1"/>
        <v>-</v>
      </c>
      <c r="K47" s="8" t="e">
        <f t="shared" si="2"/>
        <v>#VALUE!</v>
      </c>
    </row>
    <row r="48" spans="1:13" x14ac:dyDescent="0.25">
      <c r="A48" s="2">
        <v>44</v>
      </c>
      <c r="B48" s="20">
        <v>119</v>
      </c>
      <c r="C48" s="19" t="s">
        <v>8</v>
      </c>
      <c r="D48" s="6">
        <v>0.31388888888888888</v>
      </c>
      <c r="E48" s="6">
        <v>0.67361111111111116</v>
      </c>
      <c r="F48" s="6">
        <v>0.7416666666666667</v>
      </c>
      <c r="G48" s="7">
        <v>0.87083333333333324</v>
      </c>
      <c r="I48" s="9">
        <f t="shared" si="0"/>
        <v>0.55694444444444435</v>
      </c>
      <c r="J48" s="9">
        <f t="shared" si="1"/>
        <v>0.48888888888888882</v>
      </c>
      <c r="K48" s="8">
        <f t="shared" si="2"/>
        <v>6.8055555555555536E-2</v>
      </c>
    </row>
    <row r="49" spans="1:13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0.8125</v>
      </c>
      <c r="I49" s="9">
        <f t="shared" si="0"/>
        <v>0.50069444444444444</v>
      </c>
      <c r="J49" s="9" t="str">
        <f t="shared" si="1"/>
        <v>-</v>
      </c>
      <c r="K49" s="8" t="e">
        <f t="shared" si="2"/>
        <v>#VALUE!</v>
      </c>
    </row>
    <row r="50" spans="1:13" x14ac:dyDescent="0.25">
      <c r="A50" s="2">
        <v>46</v>
      </c>
      <c r="B50" s="21">
        <v>134</v>
      </c>
      <c r="C50" s="17" t="s">
        <v>10</v>
      </c>
      <c r="D50" s="6">
        <v>0.50624999999999998</v>
      </c>
      <c r="E50" s="6">
        <v>0.69027777777777777</v>
      </c>
      <c r="F50" s="6"/>
      <c r="G50" s="7">
        <v>0.87569444444444444</v>
      </c>
      <c r="I50" s="9">
        <f t="shared" si="0"/>
        <v>0.36944444444444446</v>
      </c>
      <c r="J50" s="9" t="str">
        <f t="shared" si="1"/>
        <v>-</v>
      </c>
      <c r="K50" s="8" t="e">
        <f t="shared" si="2"/>
        <v>#VALUE!</v>
      </c>
    </row>
    <row r="51" spans="1:13" x14ac:dyDescent="0.25">
      <c r="A51" s="2">
        <v>47</v>
      </c>
      <c r="B51" s="20">
        <v>140</v>
      </c>
      <c r="C51" s="19" t="s">
        <v>32</v>
      </c>
      <c r="D51" s="6">
        <v>0.31666666666666665</v>
      </c>
      <c r="E51" s="6"/>
      <c r="F51" s="6"/>
      <c r="G51" s="7">
        <v>0.79375000000000007</v>
      </c>
      <c r="I51" s="9">
        <f t="shared" si="0"/>
        <v>0.47708333333333341</v>
      </c>
      <c r="J51" s="9" t="str">
        <f t="shared" si="1"/>
        <v>-</v>
      </c>
      <c r="K51" s="8" t="e">
        <f t="shared" si="2"/>
        <v>#VALUE!</v>
      </c>
      <c r="M51">
        <v>1.5</v>
      </c>
    </row>
    <row r="52" spans="1:13" x14ac:dyDescent="0.25">
      <c r="A52" s="2">
        <v>48</v>
      </c>
      <c r="B52" s="21">
        <v>143</v>
      </c>
      <c r="C52" s="19" t="s">
        <v>21</v>
      </c>
      <c r="D52" s="6">
        <v>0.3215277777777778</v>
      </c>
      <c r="E52" s="6">
        <v>0.54513888888888895</v>
      </c>
      <c r="F52" s="6">
        <v>0.61944444444444446</v>
      </c>
      <c r="G52" s="7">
        <v>0.87569444444444444</v>
      </c>
      <c r="I52" s="9">
        <f t="shared" si="0"/>
        <v>0.5541666666666667</v>
      </c>
      <c r="J52" s="9">
        <f t="shared" si="1"/>
        <v>0.47986111111111113</v>
      </c>
      <c r="K52" s="8">
        <f t="shared" si="2"/>
        <v>7.4305555555555569E-2</v>
      </c>
    </row>
    <row r="53" spans="1:13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3" x14ac:dyDescent="0.25">
      <c r="A54" s="2">
        <v>50</v>
      </c>
      <c r="B54" s="20">
        <v>150</v>
      </c>
      <c r="C54" s="5" t="s">
        <v>12</v>
      </c>
      <c r="D54" s="6">
        <v>0.31458333333333333</v>
      </c>
      <c r="E54" s="6">
        <v>0.57638888888888895</v>
      </c>
      <c r="F54" s="6">
        <v>0.65069444444444446</v>
      </c>
      <c r="G54" s="7">
        <v>0.87708333333333333</v>
      </c>
      <c r="I54" s="9">
        <f t="shared" si="0"/>
        <v>0.5625</v>
      </c>
      <c r="J54" s="9">
        <f t="shared" si="1"/>
        <v>0.48819444444444449</v>
      </c>
      <c r="K54" s="8">
        <f t="shared" si="2"/>
        <v>7.4305555555555514E-2</v>
      </c>
    </row>
    <row r="55" spans="1:13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3" x14ac:dyDescent="0.25">
      <c r="A56" s="2">
        <v>52</v>
      </c>
      <c r="B56" s="21">
        <v>155</v>
      </c>
      <c r="C56" s="19" t="s">
        <v>62</v>
      </c>
      <c r="D56" s="6">
        <v>0.31666666666666665</v>
      </c>
      <c r="E56" s="6">
        <v>0.67013888888888884</v>
      </c>
      <c r="F56" s="6">
        <v>0.73402777777777783</v>
      </c>
      <c r="G56" s="7">
        <v>0.87708333333333333</v>
      </c>
      <c r="I56" s="9">
        <f t="shared" si="0"/>
        <v>0.56041666666666667</v>
      </c>
      <c r="J56" s="9">
        <f t="shared" si="1"/>
        <v>0.49652777777777768</v>
      </c>
      <c r="K56" s="8">
        <f t="shared" si="2"/>
        <v>6.3888888888888995E-2</v>
      </c>
    </row>
    <row r="57" spans="1:13" x14ac:dyDescent="0.25">
      <c r="A57" s="2">
        <v>53</v>
      </c>
      <c r="B57" s="21">
        <v>156</v>
      </c>
      <c r="C57" s="19" t="s">
        <v>67</v>
      </c>
      <c r="D57" s="6">
        <v>0.3527777777777778</v>
      </c>
      <c r="E57" s="6">
        <v>0.43888888888888888</v>
      </c>
      <c r="F57" s="6">
        <v>0.50902777777777775</v>
      </c>
      <c r="G57" s="7">
        <v>0.86875000000000002</v>
      </c>
      <c r="I57" s="9">
        <f t="shared" si="0"/>
        <v>0.51597222222222228</v>
      </c>
      <c r="J57" s="9">
        <f t="shared" si="1"/>
        <v>0.44583333333333336</v>
      </c>
      <c r="K57" s="8">
        <f t="shared" si="2"/>
        <v>7.0138888888888917E-2</v>
      </c>
    </row>
    <row r="58" spans="1:13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0.53749999999999998</v>
      </c>
      <c r="F58" s="6">
        <v>0.6020833333333333</v>
      </c>
      <c r="G58" s="7">
        <v>0.87569444444444444</v>
      </c>
      <c r="I58" s="9">
        <f t="shared" si="0"/>
        <v>0.56319444444444444</v>
      </c>
      <c r="J58" s="9">
        <f t="shared" si="1"/>
        <v>0.49861111111111112</v>
      </c>
      <c r="K58" s="8">
        <f t="shared" si="2"/>
        <v>6.4583333333333326E-2</v>
      </c>
    </row>
    <row r="59" spans="1:13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3" x14ac:dyDescent="0.25">
      <c r="A60" s="2">
        <v>56</v>
      </c>
      <c r="B60" s="20">
        <v>160</v>
      </c>
      <c r="C60" s="17" t="s">
        <v>59</v>
      </c>
      <c r="D60" s="6">
        <v>0.3298611111111111</v>
      </c>
      <c r="E60" s="6"/>
      <c r="F60" s="6"/>
      <c r="G60" s="7">
        <v>0.71527777777777779</v>
      </c>
      <c r="I60" s="9">
        <f t="shared" si="0"/>
        <v>0.38541666666666669</v>
      </c>
      <c r="J60" s="9" t="str">
        <f t="shared" si="1"/>
        <v>-</v>
      </c>
      <c r="K60" s="8" t="e">
        <f t="shared" si="2"/>
        <v>#VALUE!</v>
      </c>
    </row>
    <row r="61" spans="1:13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3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3" x14ac:dyDescent="0.25">
      <c r="A63" s="2">
        <v>59</v>
      </c>
      <c r="B63" s="20">
        <v>169</v>
      </c>
      <c r="C63" s="19" t="s">
        <v>53</v>
      </c>
      <c r="D63" s="6">
        <v>0.31805555555555554</v>
      </c>
      <c r="E63" s="6">
        <v>0.57916666666666672</v>
      </c>
      <c r="F63" s="6">
        <v>0.6430555555555556</v>
      </c>
      <c r="G63" s="7">
        <v>0.87291666666666667</v>
      </c>
      <c r="I63" s="9">
        <f t="shared" si="0"/>
        <v>0.55486111111111114</v>
      </c>
      <c r="J63" s="9">
        <f t="shared" si="1"/>
        <v>0.49097222222222225</v>
      </c>
      <c r="K63" s="8">
        <f t="shared" si="2"/>
        <v>6.3888888888888884E-2</v>
      </c>
    </row>
    <row r="64" spans="1:13" x14ac:dyDescent="0.25">
      <c r="A64" s="2">
        <v>60</v>
      </c>
      <c r="B64" s="20">
        <v>175</v>
      </c>
      <c r="C64" s="17" t="s">
        <v>60</v>
      </c>
      <c r="D64" s="6">
        <v>0.56111111111111112</v>
      </c>
      <c r="E64" s="6"/>
      <c r="F64" s="6"/>
      <c r="G64" s="6">
        <v>0.91736111111111107</v>
      </c>
      <c r="I64" s="9">
        <f t="shared" si="0"/>
        <v>0.35624999999999996</v>
      </c>
      <c r="J64" s="9" t="str">
        <f t="shared" si="1"/>
        <v>-</v>
      </c>
      <c r="K64" s="8" t="e">
        <f t="shared" si="2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0.30833333333333335</v>
      </c>
      <c r="E65" s="6">
        <v>0.52152777777777781</v>
      </c>
      <c r="F65" s="6">
        <v>0.57361111111111118</v>
      </c>
      <c r="G65" s="6">
        <v>0.86875000000000002</v>
      </c>
      <c r="I65" s="9">
        <f t="shared" si="0"/>
        <v>0.56041666666666667</v>
      </c>
      <c r="J65" s="9">
        <f t="shared" si="1"/>
        <v>0.5083333333333333</v>
      </c>
      <c r="K65" s="8">
        <f t="shared" si="2"/>
        <v>5.208333333333337E-2</v>
      </c>
    </row>
    <row r="66" spans="1:11" x14ac:dyDescent="0.25">
      <c r="A66" s="2">
        <v>62</v>
      </c>
      <c r="B66" s="20">
        <v>177</v>
      </c>
      <c r="C66" s="17" t="s">
        <v>68</v>
      </c>
      <c r="D66" s="6"/>
      <c r="E66" s="1"/>
      <c r="F66" s="1"/>
      <c r="G66" s="6"/>
      <c r="I66" s="9" t="str">
        <f t="shared" si="0"/>
        <v>-</v>
      </c>
      <c r="J66" s="9" t="str">
        <f t="shared" si="1"/>
        <v>-</v>
      </c>
      <c r="K66" s="8" t="e">
        <f t="shared" si="2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0"/>
        <v>-</v>
      </c>
      <c r="J67" s="9" t="str">
        <f t="shared" si="1"/>
        <v>-</v>
      </c>
      <c r="K67" s="8" t="e">
        <f t="shared" si="2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>
        <v>0.31597222222222221</v>
      </c>
      <c r="E68" s="1"/>
      <c r="F68" s="1"/>
      <c r="G68" s="6">
        <v>0.67291666666666661</v>
      </c>
      <c r="I68" s="9">
        <f t="shared" si="0"/>
        <v>0.3569444444444444</v>
      </c>
      <c r="J68" s="9" t="str">
        <f t="shared" si="1"/>
        <v>-</v>
      </c>
      <c r="K68" s="8" t="e">
        <f t="shared" si="2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/>
      <c r="E69" s="1"/>
      <c r="F69" s="1"/>
      <c r="G69" s="6"/>
      <c r="I69" s="9" t="str">
        <f t="shared" si="0"/>
        <v>-</v>
      </c>
      <c r="J69" s="9" t="str">
        <f t="shared" si="1"/>
        <v>-</v>
      </c>
      <c r="K69" s="8" t="e">
        <f t="shared" si="2"/>
        <v>#VALUE!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0.31666666666666665</v>
      </c>
      <c r="E70" s="6">
        <v>0.49305555555555558</v>
      </c>
      <c r="F70" s="6">
        <v>0.51736111111111105</v>
      </c>
      <c r="G70" s="6">
        <v>0.67986111111111114</v>
      </c>
      <c r="I70" s="9">
        <f t="shared" ref="I70:I79" si="3">IF(AND(D70 &lt;&gt; "", G70 &lt;&gt; ""), G70 - D70, "-")</f>
        <v>0.36319444444444449</v>
      </c>
      <c r="J70" s="9">
        <f t="shared" ref="J70:J79" si="4">IF(AND(D70 &lt;&gt; "", E70 &lt;&gt; "", F70 &lt;&gt; "", G70 &lt;&gt; ""), (E70 - D70)  + (G70 - F70), "-")</f>
        <v>0.33888888888888902</v>
      </c>
      <c r="K70" s="8">
        <f t="shared" ref="K70:K79" si="5">SUM(I70-J70)</f>
        <v>2.4305555555555469E-2</v>
      </c>
    </row>
    <row r="71" spans="1:11" x14ac:dyDescent="0.25">
      <c r="A71" s="2">
        <v>67</v>
      </c>
      <c r="B71" s="20">
        <v>182</v>
      </c>
      <c r="C71" s="17" t="s">
        <v>73</v>
      </c>
      <c r="D71" s="6">
        <v>0.52361111111111114</v>
      </c>
      <c r="E71" s="1"/>
      <c r="F71" s="1"/>
      <c r="G71" s="6">
        <v>0.87569444444444444</v>
      </c>
      <c r="I71" s="9">
        <f t="shared" si="3"/>
        <v>0.3520833333333333</v>
      </c>
      <c r="J71" s="9" t="str">
        <f t="shared" si="4"/>
        <v>-</v>
      </c>
      <c r="K71" s="8" t="e">
        <f t="shared" si="5"/>
        <v>#VALUE!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0.52083333333333337</v>
      </c>
      <c r="E72" s="25"/>
      <c r="F72" s="25"/>
      <c r="G72" s="35">
        <v>0.88055555555555554</v>
      </c>
      <c r="I72" s="9">
        <f t="shared" si="3"/>
        <v>0.35972222222222217</v>
      </c>
      <c r="J72" s="9" t="str">
        <f t="shared" si="4"/>
        <v>-</v>
      </c>
      <c r="K72" s="8" t="e">
        <f t="shared" si="5"/>
        <v>#VALUE!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0.33055555555555555</v>
      </c>
      <c r="E73" s="1"/>
      <c r="F73" s="1"/>
      <c r="G73" s="1"/>
      <c r="I73" s="9" t="str">
        <f t="shared" si="3"/>
        <v>-</v>
      </c>
      <c r="J73" s="9" t="str">
        <f t="shared" si="4"/>
        <v>-</v>
      </c>
      <c r="K73" s="8" t="e">
        <f t="shared" si="5"/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1"/>
      <c r="E74" s="1"/>
      <c r="F74" s="1"/>
      <c r="G74" s="1"/>
      <c r="I74" s="9" t="str">
        <f t="shared" si="3"/>
        <v>-</v>
      </c>
      <c r="J74" s="9" t="str">
        <f t="shared" si="4"/>
        <v>-</v>
      </c>
      <c r="K74" s="8" t="e">
        <f t="shared" si="5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3"/>
        <v>-</v>
      </c>
      <c r="J75" s="9" t="str">
        <f t="shared" si="4"/>
        <v>-</v>
      </c>
      <c r="K75" s="8" t="e">
        <f t="shared" si="5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3"/>
        <v>-</v>
      </c>
      <c r="J76" s="9" t="str">
        <f t="shared" si="4"/>
        <v>-</v>
      </c>
      <c r="K76" s="8" t="e">
        <f t="shared" si="5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0.31597222222222221</v>
      </c>
      <c r="E77" s="6">
        <v>0.62569444444444444</v>
      </c>
      <c r="F77" s="6">
        <v>0.69305555555555554</v>
      </c>
      <c r="G77" s="6">
        <v>0.89374999999999993</v>
      </c>
      <c r="I77" s="9">
        <f t="shared" si="3"/>
        <v>0.57777777777777772</v>
      </c>
      <c r="J77" s="9">
        <f t="shared" si="4"/>
        <v>0.51041666666666663</v>
      </c>
      <c r="K77" s="8">
        <f t="shared" si="5"/>
        <v>6.7361111111111094E-2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3"/>
        <v>-</v>
      </c>
      <c r="J78" s="9" t="str">
        <f t="shared" si="4"/>
        <v>-</v>
      </c>
      <c r="K78" s="8" t="e">
        <f t="shared" si="5"/>
        <v>#VALUE!</v>
      </c>
    </row>
    <row r="79" spans="1:11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si="3"/>
        <v>-</v>
      </c>
      <c r="J79" s="9" t="str">
        <f t="shared" si="4"/>
        <v>-</v>
      </c>
      <c r="K79" s="8" t="e">
        <f t="shared" si="5"/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27" priority="18">
      <formula>$I5 &lt; TIME(12,0,0)</formula>
    </cfRule>
  </conditionalFormatting>
  <conditionalFormatting sqref="A5:A78 I61:J79">
    <cfRule type="cellIs" dxfId="26" priority="17" operator="between">
      <formula>0.291666666666667</formula>
      <formula>0.315972222222222</formula>
    </cfRule>
  </conditionalFormatting>
  <conditionalFormatting sqref="C5:C19 C27:C28">
    <cfRule type="expression" priority="7" stopIfTrue="1">
      <formula>COUNTIF($E$1:$E$91,C5)&gt;1</formula>
    </cfRule>
    <cfRule type="expression" priority="8" stopIfTrue="1">
      <formula>COUNTIF($E$1:$E$95,C5)&gt;1</formula>
    </cfRule>
  </conditionalFormatting>
  <conditionalFormatting sqref="C20:C26 C29:C30 C33 C35:C72">
    <cfRule type="expression" priority="19" stopIfTrue="1">
      <formula>COUNTIF($D$1:$D$82,C20)&gt;1</formula>
    </cfRule>
    <cfRule type="expression" priority="20" stopIfTrue="1">
      <formula>COUNTIF($D$1:$D$86,C20)&gt;1</formula>
    </cfRule>
  </conditionalFormatting>
  <conditionalFormatting sqref="C31:C32 C34">
    <cfRule type="expression" priority="21" stopIfTrue="1">
      <formula>COUNTIF($E$1:$E$90,C31)&gt;1</formula>
    </cfRule>
    <cfRule type="expression" priority="22" stopIfTrue="1">
      <formula>COUNTIF($E$1:$E$94,C31)&gt;1</formula>
    </cfRule>
  </conditionalFormatting>
  <conditionalFormatting sqref="C73:C79">
    <cfRule type="expression" priority="9" stopIfTrue="1">
      <formula>COUNTIF($D$7:$D$89,C73)&gt;1</formula>
    </cfRule>
    <cfRule type="expression" priority="10" stopIfTrue="1">
      <formula>COUNTIF($D$7:$D$93,C73)&gt;1</formula>
    </cfRule>
  </conditionalFormatting>
  <conditionalFormatting sqref="D10:G10">
    <cfRule type="cellIs" dxfId="25" priority="4" operator="between">
      <formula>0.333333333333333</formula>
      <formula>0.375</formula>
    </cfRule>
  </conditionalFormatting>
  <conditionalFormatting sqref="D56:G56">
    <cfRule type="cellIs" dxfId="24" priority="14" operator="between">
      <formula>0.875694444444444</formula>
      <formula>0.999305555555556</formula>
    </cfRule>
    <cfRule type="cellIs" dxfId="23" priority="16" operator="between">
      <formula>0.333333333333333</formula>
      <formula>0.375</formula>
    </cfRule>
  </conditionalFormatting>
  <conditionalFormatting sqref="D5:J9">
    <cfRule type="expression" dxfId="22" priority="6">
      <formula>$I5 &lt; TIME(12,0,0)</formula>
    </cfRule>
  </conditionalFormatting>
  <conditionalFormatting sqref="D5:J12">
    <cfRule type="cellIs" dxfId="21" priority="5" operator="between">
      <formula>0.291666666666667</formula>
      <formula>0.315972222222222</formula>
    </cfRule>
  </conditionalFormatting>
  <conditionalFormatting sqref="D13:J53">
    <cfRule type="cellIs" dxfId="20" priority="1" operator="between">
      <formula>0.291666666666667</formula>
      <formula>0.315972222222222</formula>
    </cfRule>
    <cfRule type="expression" dxfId="19" priority="2">
      <formula>$I13 &lt; TIME(12,0,0)</formula>
    </cfRule>
  </conditionalFormatting>
  <conditionalFormatting sqref="D54:J58">
    <cfRule type="cellIs" dxfId="18" priority="15" operator="between">
      <formula>0.291666666666667</formula>
      <formula>0.315972222222222</formula>
    </cfRule>
  </conditionalFormatting>
  <conditionalFormatting sqref="D59:J60">
    <cfRule type="cellIs" dxfId="17" priority="11" operator="between">
      <formula>0.291666666666667</formula>
      <formula>0.315972222222222</formula>
    </cfRule>
    <cfRule type="expression" dxfId="16" priority="12">
      <formula>$I59 &lt; TIME(12,0,0)</formula>
    </cfRule>
  </conditionalFormatting>
  <conditionalFormatting sqref="G10">
    <cfRule type="cellIs" dxfId="15" priority="3" operator="between">
      <formula>0.875694444444444</formula>
      <formula>0.978472222222222</formula>
    </cfRule>
  </conditionalFormatting>
  <conditionalFormatting sqref="G56">
    <cfRule type="cellIs" dxfId="14" priority="13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1A65-BD03-4B10-88BD-F2BA11F2FB5A}">
  <dimension ref="A2:M79"/>
  <sheetViews>
    <sheetView workbookViewId="0">
      <pane ySplit="3" topLeftCell="A13" activePane="bottomLeft" state="frozen"/>
      <selection pane="bottomLeft" activeCell="M30" sqref="M30"/>
    </sheetView>
  </sheetViews>
  <sheetFormatPr defaultRowHeight="15" x14ac:dyDescent="0.25"/>
  <cols>
    <col min="1" max="2" width="4.85546875" customWidth="1"/>
    <col min="3" max="3" width="27.42578125" bestFit="1" customWidth="1"/>
    <col min="4" max="4" width="12.85546875" customWidth="1"/>
    <col min="5" max="5" width="7.140625" customWidth="1"/>
    <col min="6" max="6" width="6.5703125" customWidth="1"/>
    <col min="7" max="7" width="17.42578125" customWidth="1"/>
    <col min="8" max="8" width="5.7109375" customWidth="1"/>
    <col min="9" max="9" width="17" customWidth="1"/>
    <col min="10" max="10" width="16.28515625" customWidth="1"/>
    <col min="11" max="11" width="12.5703125" customWidth="1"/>
  </cols>
  <sheetData>
    <row r="2" spans="1:13" ht="22.5" customHeight="1" thickBot="1" x14ac:dyDescent="0.3">
      <c r="C2" s="42" t="s">
        <v>64</v>
      </c>
      <c r="D2" s="42"/>
      <c r="E2" s="42"/>
      <c r="F2" s="42"/>
      <c r="G2" s="42"/>
      <c r="I2" s="15" t="s">
        <v>51</v>
      </c>
      <c r="J2" s="16" t="s">
        <v>52</v>
      </c>
    </row>
    <row r="3" spans="1:13" ht="135" x14ac:dyDescent="0.25">
      <c r="A3" s="10"/>
      <c r="B3" s="22"/>
      <c r="C3" s="11" t="s">
        <v>0</v>
      </c>
      <c r="D3" s="11" t="s">
        <v>1</v>
      </c>
      <c r="E3" s="43" t="s">
        <v>2</v>
      </c>
      <c r="F3" s="43"/>
      <c r="G3" s="12" t="s">
        <v>3</v>
      </c>
      <c r="H3" s="13"/>
      <c r="I3" s="14" t="s">
        <v>49</v>
      </c>
      <c r="J3" s="13" t="s">
        <v>50</v>
      </c>
    </row>
    <row r="4" spans="1:13" ht="14.25" customHeight="1" x14ac:dyDescent="0.25">
      <c r="A4" s="2"/>
      <c r="B4" s="1"/>
      <c r="C4" s="3"/>
      <c r="D4" s="1"/>
      <c r="E4" s="1"/>
      <c r="F4" s="1"/>
      <c r="G4" s="4"/>
      <c r="J4" s="8"/>
    </row>
    <row r="5" spans="1:13" x14ac:dyDescent="0.25">
      <c r="A5" s="2">
        <v>1</v>
      </c>
      <c r="B5" s="20">
        <v>1</v>
      </c>
      <c r="C5" s="19" t="s">
        <v>39</v>
      </c>
      <c r="D5" s="6"/>
      <c r="E5" s="6"/>
      <c r="F5" s="6"/>
      <c r="G5" s="7"/>
      <c r="I5" s="9" t="str">
        <f>IF(AND(D5 &lt;&gt; "", G5 &lt;&gt; ""), G5 - D5, "-")</f>
        <v>-</v>
      </c>
      <c r="J5" s="9" t="str">
        <f>IF(AND(D5 &lt;&gt; "", E5 &lt;&gt; "", F5 &lt;&gt; "", G5 &lt;&gt; ""), (E5 - D5)  + (G5 - F5), "-")</f>
        <v>-</v>
      </c>
      <c r="K5" s="8" t="e">
        <f>SUM(I5-J5)</f>
        <v>#VALUE!</v>
      </c>
    </row>
    <row r="6" spans="1:13" x14ac:dyDescent="0.25">
      <c r="A6" s="2">
        <v>2</v>
      </c>
      <c r="B6" s="20">
        <v>3</v>
      </c>
      <c r="C6" s="5" t="s">
        <v>24</v>
      </c>
      <c r="D6" s="6">
        <v>0.31666666666666665</v>
      </c>
      <c r="E6" s="6">
        <v>0.45624999999999999</v>
      </c>
      <c r="F6" s="6">
        <v>0.52638888888888891</v>
      </c>
      <c r="G6" s="7">
        <v>0.87361111111111101</v>
      </c>
      <c r="I6" s="9">
        <f t="shared" ref="I6:I62" si="0">IF(AND(D6 &lt;&gt; "", G6 &lt;&gt; ""), G6 - D6, "-")</f>
        <v>0.55694444444444435</v>
      </c>
      <c r="J6" s="9">
        <f t="shared" ref="J6:J62" si="1">IF(AND(D6 &lt;&gt; "", E6 &lt;&gt; "", F6 &lt;&gt; "", G6 &lt;&gt; ""), (E6 - D6)  + (G6 - F6), "-")</f>
        <v>0.48680555555555544</v>
      </c>
      <c r="K6" s="8">
        <f t="shared" ref="K6:K62" si="2">SUM(I6-J6)</f>
        <v>7.0138888888888917E-2</v>
      </c>
    </row>
    <row r="7" spans="1:13" x14ac:dyDescent="0.25">
      <c r="A7" s="2">
        <v>3</v>
      </c>
      <c r="B7" s="20">
        <v>6</v>
      </c>
      <c r="C7" s="19" t="s">
        <v>69</v>
      </c>
      <c r="D7" s="6">
        <v>0.3923611111111111</v>
      </c>
      <c r="E7" s="6">
        <v>0.62361111111111112</v>
      </c>
      <c r="F7" s="6">
        <v>0.65347222222222223</v>
      </c>
      <c r="G7" s="7"/>
      <c r="I7" s="9" t="str">
        <f t="shared" si="0"/>
        <v>-</v>
      </c>
      <c r="J7" s="9" t="str">
        <f t="shared" si="1"/>
        <v>-</v>
      </c>
      <c r="K7" s="8" t="e">
        <f t="shared" si="2"/>
        <v>#VALUE!</v>
      </c>
    </row>
    <row r="8" spans="1:13" x14ac:dyDescent="0.25">
      <c r="A8" s="2">
        <v>4</v>
      </c>
      <c r="B8" s="20">
        <v>7</v>
      </c>
      <c r="C8" s="5" t="s">
        <v>77</v>
      </c>
      <c r="D8" s="6"/>
      <c r="E8" s="6"/>
      <c r="F8" s="6"/>
      <c r="G8" s="7"/>
      <c r="I8" s="9" t="str">
        <f t="shared" si="0"/>
        <v>-</v>
      </c>
      <c r="J8" s="9" t="str">
        <f t="shared" si="1"/>
        <v>-</v>
      </c>
      <c r="K8" s="8" t="e">
        <f t="shared" si="2"/>
        <v>#VALUE!</v>
      </c>
    </row>
    <row r="9" spans="1:13" x14ac:dyDescent="0.25">
      <c r="A9" s="2">
        <v>5</v>
      </c>
      <c r="B9" s="20">
        <v>8</v>
      </c>
      <c r="C9" s="5" t="s">
        <v>9</v>
      </c>
      <c r="D9" s="6"/>
      <c r="E9" s="6"/>
      <c r="F9" s="6"/>
      <c r="G9" s="7"/>
      <c r="I9" s="9" t="str">
        <f t="shared" si="0"/>
        <v>-</v>
      </c>
      <c r="J9" s="9" t="str">
        <f t="shared" si="1"/>
        <v>-</v>
      </c>
      <c r="K9" s="8" t="e">
        <f t="shared" si="2"/>
        <v>#VALUE!</v>
      </c>
    </row>
    <row r="10" spans="1:13" x14ac:dyDescent="0.25">
      <c r="A10" s="2">
        <v>6</v>
      </c>
      <c r="B10" s="20">
        <v>10</v>
      </c>
      <c r="C10" s="5" t="s">
        <v>11</v>
      </c>
      <c r="D10" s="6">
        <v>0.31111111111111112</v>
      </c>
      <c r="E10" s="6">
        <v>0.57777777777777783</v>
      </c>
      <c r="F10" s="6">
        <v>0.62430555555555556</v>
      </c>
      <c r="G10" s="7">
        <v>0.87222222222222223</v>
      </c>
      <c r="I10" s="9">
        <f t="shared" si="0"/>
        <v>0.56111111111111112</v>
      </c>
      <c r="J10" s="9">
        <f t="shared" si="1"/>
        <v>0.51458333333333339</v>
      </c>
      <c r="K10" s="8">
        <f t="shared" si="2"/>
        <v>4.6527777777777724E-2</v>
      </c>
    </row>
    <row r="11" spans="1:13" x14ac:dyDescent="0.25">
      <c r="A11" s="2">
        <v>7</v>
      </c>
      <c r="B11" s="20">
        <v>12</v>
      </c>
      <c r="C11" s="5" t="s">
        <v>7</v>
      </c>
      <c r="D11" s="6">
        <v>0.34513888888888888</v>
      </c>
      <c r="E11" s="6">
        <v>0.55347222222222225</v>
      </c>
      <c r="F11" s="6">
        <v>0.62430555555555556</v>
      </c>
      <c r="G11" s="7">
        <v>0.85763888888888884</v>
      </c>
      <c r="I11" s="9">
        <f t="shared" si="0"/>
        <v>0.51249999999999996</v>
      </c>
      <c r="J11" s="9">
        <f t="shared" si="1"/>
        <v>0.44166666666666665</v>
      </c>
      <c r="K11" s="8">
        <f t="shared" si="2"/>
        <v>7.0833333333333304E-2</v>
      </c>
    </row>
    <row r="12" spans="1:13" x14ac:dyDescent="0.25">
      <c r="A12" s="2">
        <v>8</v>
      </c>
      <c r="B12" s="20">
        <v>13</v>
      </c>
      <c r="C12" s="19" t="s">
        <v>33</v>
      </c>
      <c r="D12" s="6"/>
      <c r="E12" s="6"/>
      <c r="F12" s="6"/>
      <c r="G12" s="7"/>
      <c r="I12" s="9" t="str">
        <f t="shared" si="0"/>
        <v>-</v>
      </c>
      <c r="J12" s="9" t="str">
        <f t="shared" si="1"/>
        <v>-</v>
      </c>
      <c r="K12" s="8" t="e">
        <f t="shared" si="2"/>
        <v>#VALUE!</v>
      </c>
      <c r="M12">
        <v>0.5</v>
      </c>
    </row>
    <row r="13" spans="1:13" x14ac:dyDescent="0.25">
      <c r="A13" s="2">
        <v>9</v>
      </c>
      <c r="B13" s="20">
        <v>14</v>
      </c>
      <c r="C13" s="17" t="s">
        <v>46</v>
      </c>
      <c r="D13" s="6">
        <v>0.55138888888888882</v>
      </c>
      <c r="E13" s="6"/>
      <c r="F13" s="6"/>
      <c r="G13" s="7">
        <v>0.72777777777777775</v>
      </c>
      <c r="I13" s="9">
        <f t="shared" si="0"/>
        <v>0.17638888888888893</v>
      </c>
      <c r="J13" s="9" t="str">
        <f t="shared" si="1"/>
        <v>-</v>
      </c>
      <c r="K13" s="8" t="e">
        <f t="shared" si="2"/>
        <v>#VALUE!</v>
      </c>
    </row>
    <row r="14" spans="1:13" x14ac:dyDescent="0.25">
      <c r="A14" s="2">
        <v>10</v>
      </c>
      <c r="B14" s="20">
        <v>15</v>
      </c>
      <c r="C14" s="17" t="s">
        <v>43</v>
      </c>
      <c r="D14" s="6">
        <v>0.52083333333333337</v>
      </c>
      <c r="E14" s="6">
        <v>0.70763888888888893</v>
      </c>
      <c r="F14" s="6">
        <v>0.72986111111111107</v>
      </c>
      <c r="G14" s="7">
        <v>0.87083333333333324</v>
      </c>
      <c r="I14" s="9">
        <f t="shared" si="0"/>
        <v>0.34999999999999987</v>
      </c>
      <c r="J14" s="9">
        <f t="shared" si="1"/>
        <v>0.32777777777777772</v>
      </c>
      <c r="K14" s="8">
        <f t="shared" si="2"/>
        <v>2.2222222222222143E-2</v>
      </c>
    </row>
    <row r="15" spans="1:13" x14ac:dyDescent="0.25">
      <c r="A15" s="2">
        <v>11</v>
      </c>
      <c r="B15" s="20">
        <v>17</v>
      </c>
      <c r="C15" s="5" t="s">
        <v>54</v>
      </c>
      <c r="D15" s="6">
        <v>0.3430555555555555</v>
      </c>
      <c r="E15" s="6">
        <v>0.49444444444444446</v>
      </c>
      <c r="F15" s="6">
        <v>0.58263888888888882</v>
      </c>
      <c r="G15" s="7">
        <v>0.86875000000000002</v>
      </c>
      <c r="I15" s="9">
        <f t="shared" si="0"/>
        <v>0.52569444444444446</v>
      </c>
      <c r="J15" s="9">
        <f t="shared" si="1"/>
        <v>0.43750000000000017</v>
      </c>
      <c r="K15" s="8">
        <f t="shared" si="2"/>
        <v>8.8194444444444298E-2</v>
      </c>
    </row>
    <row r="16" spans="1:13" x14ac:dyDescent="0.25">
      <c r="A16" s="2">
        <v>12</v>
      </c>
      <c r="B16" s="20">
        <v>18</v>
      </c>
      <c r="C16" s="5" t="s">
        <v>4</v>
      </c>
      <c r="D16" s="6">
        <v>0.31319444444444444</v>
      </c>
      <c r="E16" s="6">
        <v>0.40208333333333335</v>
      </c>
      <c r="F16" s="6">
        <v>0.46736111111111112</v>
      </c>
      <c r="G16" s="7">
        <v>0.83888888888888891</v>
      </c>
      <c r="I16" s="9">
        <f t="shared" si="0"/>
        <v>0.52569444444444446</v>
      </c>
      <c r="J16" s="9">
        <f t="shared" si="1"/>
        <v>0.4604166666666667</v>
      </c>
      <c r="K16" s="8">
        <f t="shared" si="2"/>
        <v>6.5277777777777768E-2</v>
      </c>
    </row>
    <row r="17" spans="1:13" x14ac:dyDescent="0.25">
      <c r="A17" s="2">
        <v>13</v>
      </c>
      <c r="B17" s="20">
        <v>19</v>
      </c>
      <c r="C17" s="19" t="s">
        <v>27</v>
      </c>
      <c r="D17" s="6">
        <v>0.31180555555555556</v>
      </c>
      <c r="E17" s="6">
        <v>0.64374999999999993</v>
      </c>
      <c r="F17" s="6">
        <v>0.70972222222222225</v>
      </c>
      <c r="G17" s="7">
        <v>0.87222222222222223</v>
      </c>
      <c r="I17" s="9">
        <f t="shared" si="0"/>
        <v>0.56041666666666667</v>
      </c>
      <c r="J17" s="9">
        <f t="shared" si="1"/>
        <v>0.49444444444444435</v>
      </c>
      <c r="K17" s="8">
        <f t="shared" si="2"/>
        <v>6.5972222222222321E-2</v>
      </c>
    </row>
    <row r="18" spans="1:13" x14ac:dyDescent="0.25">
      <c r="A18" s="2">
        <v>14</v>
      </c>
      <c r="B18" s="21">
        <v>21</v>
      </c>
      <c r="C18" s="17" t="s">
        <v>65</v>
      </c>
      <c r="D18" s="6"/>
      <c r="E18" s="6"/>
      <c r="F18" s="6"/>
      <c r="G18" s="7"/>
      <c r="I18" s="9" t="str">
        <f t="shared" si="0"/>
        <v>-</v>
      </c>
      <c r="J18" s="9" t="str">
        <f t="shared" si="1"/>
        <v>-</v>
      </c>
      <c r="K18" s="8" t="e">
        <f t="shared" si="2"/>
        <v>#VALUE!</v>
      </c>
    </row>
    <row r="19" spans="1:13" x14ac:dyDescent="0.25">
      <c r="A19" s="2">
        <v>15</v>
      </c>
      <c r="B19" s="20">
        <v>23</v>
      </c>
      <c r="C19" s="5" t="s">
        <v>36</v>
      </c>
      <c r="D19" s="6">
        <v>0.3125</v>
      </c>
      <c r="E19" s="6">
        <v>0.6381944444444444</v>
      </c>
      <c r="F19" s="6">
        <v>0.70416666666666661</v>
      </c>
      <c r="G19" s="7">
        <v>0.87152777777777779</v>
      </c>
      <c r="I19" s="9">
        <f t="shared" si="0"/>
        <v>0.55902777777777779</v>
      </c>
      <c r="J19" s="9">
        <f t="shared" si="1"/>
        <v>0.49305555555555558</v>
      </c>
      <c r="K19" s="8">
        <f t="shared" si="2"/>
        <v>6.597222222222221E-2</v>
      </c>
    </row>
    <row r="20" spans="1:13" x14ac:dyDescent="0.25">
      <c r="A20" s="2">
        <v>16</v>
      </c>
      <c r="B20" s="20">
        <v>24</v>
      </c>
      <c r="C20" s="17" t="s">
        <v>40</v>
      </c>
      <c r="D20" s="6">
        <v>0.66805555555555562</v>
      </c>
      <c r="E20" s="6"/>
      <c r="F20" s="6"/>
      <c r="G20" s="7">
        <v>0.875</v>
      </c>
      <c r="I20" s="9">
        <f t="shared" si="0"/>
        <v>0.20694444444444438</v>
      </c>
      <c r="J20" s="9" t="str">
        <f t="shared" si="1"/>
        <v>-</v>
      </c>
      <c r="K20" s="8" t="e">
        <f t="shared" si="2"/>
        <v>#VALUE!</v>
      </c>
    </row>
    <row r="21" spans="1:13" x14ac:dyDescent="0.25">
      <c r="A21" s="2">
        <v>17</v>
      </c>
      <c r="B21" s="20">
        <v>25</v>
      </c>
      <c r="C21" s="5" t="s">
        <v>41</v>
      </c>
      <c r="D21" s="6">
        <v>0.33055555555555555</v>
      </c>
      <c r="E21" s="6">
        <v>0.65833333333333333</v>
      </c>
      <c r="F21" s="6"/>
      <c r="G21" s="7">
        <v>0.89236111111111116</v>
      </c>
      <c r="I21" s="9">
        <f t="shared" si="0"/>
        <v>0.56180555555555567</v>
      </c>
      <c r="J21" s="9" t="str">
        <f t="shared" si="1"/>
        <v>-</v>
      </c>
      <c r="K21" s="8" t="e">
        <f t="shared" si="2"/>
        <v>#VALUE!</v>
      </c>
    </row>
    <row r="22" spans="1:13" x14ac:dyDescent="0.25">
      <c r="A22" s="2">
        <v>18</v>
      </c>
      <c r="B22" s="21">
        <v>29</v>
      </c>
      <c r="C22" s="19" t="s">
        <v>19</v>
      </c>
      <c r="D22" s="6">
        <v>0.31180555555555556</v>
      </c>
      <c r="E22" s="6">
        <v>0.47430555555555554</v>
      </c>
      <c r="F22" s="6">
        <v>0.54027777777777775</v>
      </c>
      <c r="G22" s="7">
        <v>0.875</v>
      </c>
      <c r="I22" s="9">
        <f t="shared" si="0"/>
        <v>0.56319444444444444</v>
      </c>
      <c r="J22" s="9">
        <f t="shared" si="1"/>
        <v>0.49722222222222223</v>
      </c>
      <c r="K22" s="8">
        <f t="shared" si="2"/>
        <v>6.597222222222221E-2</v>
      </c>
    </row>
    <row r="23" spans="1:13" x14ac:dyDescent="0.25">
      <c r="A23" s="2">
        <v>19</v>
      </c>
      <c r="B23" s="20">
        <v>30</v>
      </c>
      <c r="C23" s="5" t="s">
        <v>30</v>
      </c>
      <c r="D23" s="6">
        <v>0.63055555555555554</v>
      </c>
      <c r="E23" s="6"/>
      <c r="F23" s="6"/>
      <c r="G23" s="7">
        <v>0.87569444444444444</v>
      </c>
      <c r="I23" s="9">
        <f t="shared" si="0"/>
        <v>0.24513888888888891</v>
      </c>
      <c r="J23" s="9" t="str">
        <f t="shared" si="1"/>
        <v>-</v>
      </c>
      <c r="K23" s="8" t="e">
        <f t="shared" si="2"/>
        <v>#VALUE!</v>
      </c>
      <c r="L23">
        <v>0.5</v>
      </c>
    </row>
    <row r="24" spans="1:13" x14ac:dyDescent="0.25">
      <c r="A24" s="2">
        <v>20</v>
      </c>
      <c r="B24" s="20">
        <v>31</v>
      </c>
      <c r="C24" s="5" t="s">
        <v>14</v>
      </c>
      <c r="D24" s="6">
        <v>0.31319444444444444</v>
      </c>
      <c r="E24" s="6">
        <v>0.5708333333333333</v>
      </c>
      <c r="F24" s="6">
        <v>0.64097222222222217</v>
      </c>
      <c r="G24" s="7">
        <v>0.87638888888888899</v>
      </c>
      <c r="I24" s="9">
        <f t="shared" si="0"/>
        <v>0.56319444444444455</v>
      </c>
      <c r="J24" s="9">
        <f t="shared" si="1"/>
        <v>0.49305555555555569</v>
      </c>
      <c r="K24" s="8">
        <f t="shared" si="2"/>
        <v>7.0138888888888862E-2</v>
      </c>
    </row>
    <row r="25" spans="1:13" x14ac:dyDescent="0.25">
      <c r="A25" s="2">
        <v>21</v>
      </c>
      <c r="B25" s="21">
        <v>32</v>
      </c>
      <c r="C25" s="19" t="s">
        <v>17</v>
      </c>
      <c r="D25" s="6">
        <v>0.32013888888888892</v>
      </c>
      <c r="E25" s="6">
        <v>0.46249999999999997</v>
      </c>
      <c r="F25" s="6">
        <v>0.52777777777777779</v>
      </c>
      <c r="G25" s="7">
        <v>0.87569444444444444</v>
      </c>
      <c r="I25" s="9">
        <f t="shared" si="0"/>
        <v>0.55555555555555558</v>
      </c>
      <c r="J25" s="9">
        <f t="shared" si="1"/>
        <v>0.4902777777777777</v>
      </c>
      <c r="K25" s="8">
        <f t="shared" si="2"/>
        <v>6.5277777777777879E-2</v>
      </c>
    </row>
    <row r="26" spans="1:13" x14ac:dyDescent="0.25">
      <c r="A26" s="2">
        <v>22</v>
      </c>
      <c r="B26" s="20">
        <v>33</v>
      </c>
      <c r="C26" s="17" t="s">
        <v>78</v>
      </c>
      <c r="D26" s="6"/>
      <c r="E26" s="6"/>
      <c r="F26" s="6"/>
      <c r="G26" s="7"/>
      <c r="I26" s="9" t="str">
        <f t="shared" si="0"/>
        <v>-</v>
      </c>
      <c r="J26" s="9" t="str">
        <f t="shared" si="1"/>
        <v>-</v>
      </c>
      <c r="K26" s="8" t="e">
        <f t="shared" si="2"/>
        <v>#VALUE!</v>
      </c>
    </row>
    <row r="27" spans="1:13" x14ac:dyDescent="0.25">
      <c r="A27" s="2">
        <v>23</v>
      </c>
      <c r="B27" s="20">
        <v>34</v>
      </c>
      <c r="C27" s="18" t="s">
        <v>23</v>
      </c>
      <c r="D27" s="6">
        <v>0.31388888888888888</v>
      </c>
      <c r="E27" s="6">
        <v>0.67569444444444438</v>
      </c>
      <c r="F27" s="6">
        <v>0.77222222222222225</v>
      </c>
      <c r="G27" s="7">
        <v>0.98263888888888884</v>
      </c>
      <c r="I27" s="9">
        <f t="shared" si="0"/>
        <v>0.66874999999999996</v>
      </c>
      <c r="J27" s="9">
        <f t="shared" si="1"/>
        <v>0.57222222222222208</v>
      </c>
      <c r="K27" s="8">
        <f t="shared" si="2"/>
        <v>9.6527777777777879E-2</v>
      </c>
    </row>
    <row r="28" spans="1:13" x14ac:dyDescent="0.25">
      <c r="A28" s="2">
        <v>24</v>
      </c>
      <c r="B28" s="20">
        <v>35</v>
      </c>
      <c r="C28" s="5" t="s">
        <v>5</v>
      </c>
      <c r="D28" s="6">
        <v>0.35902777777777778</v>
      </c>
      <c r="E28" s="6">
        <v>0.71458333333333324</v>
      </c>
      <c r="F28" s="6">
        <v>0.82013888888888886</v>
      </c>
      <c r="G28" s="7">
        <v>0.87430555555555556</v>
      </c>
      <c r="I28" s="9">
        <f t="shared" si="0"/>
        <v>0.51527777777777772</v>
      </c>
      <c r="J28" s="9">
        <f t="shared" si="1"/>
        <v>0.40972222222222215</v>
      </c>
      <c r="K28" s="8">
        <f t="shared" si="2"/>
        <v>0.10555555555555557</v>
      </c>
      <c r="L28" s="8">
        <v>4.1666666666666664E-2</v>
      </c>
    </row>
    <row r="29" spans="1:13" x14ac:dyDescent="0.25">
      <c r="A29" s="2">
        <v>25</v>
      </c>
      <c r="B29" s="20">
        <v>38</v>
      </c>
      <c r="C29" s="5" t="s">
        <v>57</v>
      </c>
      <c r="D29" s="6">
        <v>0.31111111111111112</v>
      </c>
      <c r="E29" s="6"/>
      <c r="F29" s="6"/>
      <c r="G29" s="7">
        <v>0.87708333333333333</v>
      </c>
      <c r="I29" s="9">
        <f t="shared" si="0"/>
        <v>0.56597222222222221</v>
      </c>
      <c r="J29" s="9" t="str">
        <f t="shared" si="1"/>
        <v>-</v>
      </c>
      <c r="K29" s="8" t="e">
        <f t="shared" si="2"/>
        <v>#VALUE!</v>
      </c>
      <c r="L29" s="8"/>
    </row>
    <row r="30" spans="1:13" x14ac:dyDescent="0.25">
      <c r="A30" s="2">
        <v>26</v>
      </c>
      <c r="B30" s="20">
        <v>40</v>
      </c>
      <c r="C30" s="5" t="s">
        <v>16</v>
      </c>
      <c r="D30" s="6">
        <v>0.51874999999999993</v>
      </c>
      <c r="E30" s="6">
        <v>0.82847222222222217</v>
      </c>
      <c r="F30" s="6">
        <v>0.8520833333333333</v>
      </c>
      <c r="G30" s="7">
        <v>0.90625</v>
      </c>
      <c r="I30" s="9">
        <f t="shared" si="0"/>
        <v>0.38750000000000007</v>
      </c>
      <c r="J30" s="9">
        <f t="shared" si="1"/>
        <v>0.36388888888888893</v>
      </c>
      <c r="K30" s="8">
        <f t="shared" si="2"/>
        <v>2.3611111111111138E-2</v>
      </c>
      <c r="L30" s="8">
        <v>3.125E-2</v>
      </c>
      <c r="M30" s="37"/>
    </row>
    <row r="31" spans="1:13" x14ac:dyDescent="0.25">
      <c r="A31" s="2">
        <v>27</v>
      </c>
      <c r="B31" s="21">
        <v>44</v>
      </c>
      <c r="C31" s="19" t="s">
        <v>20</v>
      </c>
      <c r="D31" s="6">
        <v>0.31041666666666667</v>
      </c>
      <c r="E31" s="6">
        <v>0.52916666666666667</v>
      </c>
      <c r="F31" s="6">
        <v>0.59861111111111109</v>
      </c>
      <c r="G31" s="7">
        <v>0.87916666666666676</v>
      </c>
      <c r="I31" s="9">
        <f t="shared" si="0"/>
        <v>0.56875000000000009</v>
      </c>
      <c r="J31" s="9">
        <f t="shared" si="1"/>
        <v>0.49930555555555567</v>
      </c>
      <c r="K31" s="8">
        <f t="shared" si="2"/>
        <v>6.944444444444442E-2</v>
      </c>
    </row>
    <row r="32" spans="1:13" x14ac:dyDescent="0.25">
      <c r="A32" s="2">
        <v>28</v>
      </c>
      <c r="B32" s="20">
        <v>56</v>
      </c>
      <c r="C32" s="5" t="s">
        <v>15</v>
      </c>
      <c r="D32" s="6"/>
      <c r="E32" s="6"/>
      <c r="F32" s="6"/>
      <c r="G32" s="7"/>
      <c r="I32" s="9" t="str">
        <f t="shared" si="0"/>
        <v>-</v>
      </c>
      <c r="J32" s="9" t="str">
        <f t="shared" si="1"/>
        <v>-</v>
      </c>
      <c r="K32" s="8" t="e">
        <f t="shared" si="2"/>
        <v>#VALUE!</v>
      </c>
    </row>
    <row r="33" spans="1:11" x14ac:dyDescent="0.25">
      <c r="A33" s="2">
        <v>29</v>
      </c>
      <c r="B33" s="21">
        <v>58</v>
      </c>
      <c r="C33" s="19" t="s">
        <v>18</v>
      </c>
      <c r="D33" s="6">
        <v>0.30902777777777779</v>
      </c>
      <c r="E33" s="6">
        <v>0.59861111111111109</v>
      </c>
      <c r="F33" s="6">
        <v>0.67152777777777783</v>
      </c>
      <c r="G33" s="7">
        <v>0.87291666666666667</v>
      </c>
      <c r="I33" s="9">
        <f t="shared" si="0"/>
        <v>0.56388888888888888</v>
      </c>
      <c r="J33" s="9">
        <f t="shared" si="1"/>
        <v>0.49097222222222214</v>
      </c>
      <c r="K33" s="8">
        <f t="shared" si="2"/>
        <v>7.2916666666666741E-2</v>
      </c>
    </row>
    <row r="34" spans="1:11" x14ac:dyDescent="0.25">
      <c r="A34" s="2">
        <v>30</v>
      </c>
      <c r="B34" s="20">
        <v>60</v>
      </c>
      <c r="C34" s="19" t="s">
        <v>58</v>
      </c>
      <c r="D34" s="6"/>
      <c r="E34" s="6"/>
      <c r="F34" s="6"/>
      <c r="G34" s="7"/>
      <c r="I34" s="9" t="str">
        <f t="shared" si="0"/>
        <v>-</v>
      </c>
      <c r="J34" s="9" t="str">
        <f t="shared" si="1"/>
        <v>-</v>
      </c>
      <c r="K34" s="8" t="e">
        <f t="shared" si="2"/>
        <v>#VALUE!</v>
      </c>
    </row>
    <row r="35" spans="1:11" x14ac:dyDescent="0.25">
      <c r="A35" s="2">
        <v>31</v>
      </c>
      <c r="B35" s="20">
        <v>69</v>
      </c>
      <c r="C35" s="17" t="s">
        <v>55</v>
      </c>
      <c r="D35" s="6"/>
      <c r="E35" s="6"/>
      <c r="F35" s="6"/>
      <c r="G35" s="7"/>
      <c r="I35" s="9" t="str">
        <f t="shared" si="0"/>
        <v>-</v>
      </c>
      <c r="J35" s="9" t="str">
        <f t="shared" si="1"/>
        <v>-</v>
      </c>
      <c r="K35" s="8" t="e">
        <f t="shared" si="2"/>
        <v>#VALUE!</v>
      </c>
    </row>
    <row r="36" spans="1:11" x14ac:dyDescent="0.25">
      <c r="A36" s="2">
        <v>32</v>
      </c>
      <c r="B36" s="20">
        <v>72</v>
      </c>
      <c r="C36" s="17" t="s">
        <v>45</v>
      </c>
      <c r="D36" s="6"/>
      <c r="E36" s="6"/>
      <c r="F36" s="6"/>
      <c r="G36" s="7"/>
      <c r="I36" s="9" t="str">
        <f t="shared" si="0"/>
        <v>-</v>
      </c>
      <c r="J36" s="9" t="str">
        <f t="shared" si="1"/>
        <v>-</v>
      </c>
      <c r="K36" s="8" t="e">
        <f t="shared" si="2"/>
        <v>#VALUE!</v>
      </c>
    </row>
    <row r="37" spans="1:11" x14ac:dyDescent="0.25">
      <c r="A37" s="2">
        <v>33</v>
      </c>
      <c r="B37" s="21">
        <v>75</v>
      </c>
      <c r="C37" s="19" t="s">
        <v>34</v>
      </c>
      <c r="D37" s="6">
        <v>0.31458333333333333</v>
      </c>
      <c r="E37" s="6">
        <v>0.61736111111111114</v>
      </c>
      <c r="F37" s="6">
        <v>0.68194444444444446</v>
      </c>
      <c r="G37" s="7">
        <v>0.87777777777777777</v>
      </c>
      <c r="I37" s="9">
        <f t="shared" si="0"/>
        <v>0.56319444444444444</v>
      </c>
      <c r="J37" s="9">
        <f t="shared" si="1"/>
        <v>0.49861111111111112</v>
      </c>
      <c r="K37" s="8">
        <f t="shared" si="2"/>
        <v>6.4583333333333326E-2</v>
      </c>
    </row>
    <row r="38" spans="1:11" x14ac:dyDescent="0.25">
      <c r="A38" s="2">
        <v>34</v>
      </c>
      <c r="B38" s="20">
        <v>76</v>
      </c>
      <c r="C38" s="19" t="s">
        <v>29</v>
      </c>
      <c r="D38" s="6">
        <v>0.31111111111111112</v>
      </c>
      <c r="E38" s="6">
        <v>0.59027777777777779</v>
      </c>
      <c r="F38" s="6">
        <v>0.65347222222222223</v>
      </c>
      <c r="G38" s="7">
        <v>0.87361111111111101</v>
      </c>
      <c r="I38" s="9">
        <f t="shared" si="0"/>
        <v>0.56249999999999989</v>
      </c>
      <c r="J38" s="9">
        <f t="shared" si="1"/>
        <v>0.49930555555555545</v>
      </c>
      <c r="K38" s="8">
        <f t="shared" si="2"/>
        <v>6.3194444444444442E-2</v>
      </c>
    </row>
    <row r="39" spans="1:11" x14ac:dyDescent="0.25">
      <c r="A39" s="2">
        <v>35</v>
      </c>
      <c r="B39" s="20">
        <v>77</v>
      </c>
      <c r="C39" s="17" t="s">
        <v>42</v>
      </c>
      <c r="D39" s="6">
        <v>0.31388888888888888</v>
      </c>
      <c r="E39" s="6">
        <v>0.61875000000000002</v>
      </c>
      <c r="F39" s="6">
        <v>0.64236111111111105</v>
      </c>
      <c r="G39" s="7">
        <v>0.67361111111111116</v>
      </c>
      <c r="I39" s="9">
        <f t="shared" si="0"/>
        <v>0.35972222222222228</v>
      </c>
      <c r="J39" s="9">
        <f t="shared" si="1"/>
        <v>0.33611111111111125</v>
      </c>
      <c r="K39" s="8">
        <f t="shared" si="2"/>
        <v>2.3611111111111027E-2</v>
      </c>
    </row>
    <row r="40" spans="1:11" x14ac:dyDescent="0.25">
      <c r="A40" s="2">
        <v>36</v>
      </c>
      <c r="B40" s="21">
        <v>83</v>
      </c>
      <c r="C40" s="19" t="s">
        <v>31</v>
      </c>
      <c r="D40" s="6">
        <v>0.39999999999999997</v>
      </c>
      <c r="E40" s="6">
        <v>0.6430555555555556</v>
      </c>
      <c r="F40" s="6">
        <v>0.70208333333333339</v>
      </c>
      <c r="G40" s="7">
        <v>0.87430555555555556</v>
      </c>
      <c r="I40" s="9">
        <f t="shared" si="0"/>
        <v>0.47430555555555559</v>
      </c>
      <c r="J40" s="9">
        <f t="shared" si="1"/>
        <v>0.4152777777777778</v>
      </c>
      <c r="K40" s="8">
        <f t="shared" si="2"/>
        <v>5.902777777777779E-2</v>
      </c>
    </row>
    <row r="41" spans="1:11" x14ac:dyDescent="0.25">
      <c r="A41" s="2">
        <v>37</v>
      </c>
      <c r="B41" s="21">
        <v>87</v>
      </c>
      <c r="C41" s="19" t="s">
        <v>47</v>
      </c>
      <c r="D41" s="6">
        <v>0.31666666666666665</v>
      </c>
      <c r="E41" s="6">
        <v>0.74652777777777779</v>
      </c>
      <c r="F41" s="6">
        <v>0.8125</v>
      </c>
      <c r="G41" s="7">
        <v>0.87291666666666667</v>
      </c>
      <c r="I41" s="9">
        <f t="shared" si="0"/>
        <v>0.55625000000000002</v>
      </c>
      <c r="J41" s="9">
        <f t="shared" si="1"/>
        <v>0.49027777777777781</v>
      </c>
      <c r="K41" s="8">
        <f t="shared" si="2"/>
        <v>6.597222222222221E-2</v>
      </c>
    </row>
    <row r="42" spans="1:11" x14ac:dyDescent="0.25">
      <c r="A42" s="2">
        <v>38</v>
      </c>
      <c r="B42" s="20">
        <v>90</v>
      </c>
      <c r="C42" s="5" t="s">
        <v>25</v>
      </c>
      <c r="D42" s="6"/>
      <c r="E42" s="1"/>
      <c r="F42" s="6"/>
      <c r="G42" s="7"/>
      <c r="I42" s="9" t="str">
        <f t="shared" si="0"/>
        <v>-</v>
      </c>
      <c r="J42" s="9" t="str">
        <f t="shared" si="1"/>
        <v>-</v>
      </c>
      <c r="K42" s="8" t="e">
        <f t="shared" si="2"/>
        <v>#VALUE!</v>
      </c>
    </row>
    <row r="43" spans="1:11" x14ac:dyDescent="0.25">
      <c r="A43" s="2">
        <v>39</v>
      </c>
      <c r="B43" s="20">
        <v>91</v>
      </c>
      <c r="C43" s="18" t="s">
        <v>37</v>
      </c>
      <c r="D43" s="6">
        <v>0.31388888888888888</v>
      </c>
      <c r="E43" s="6">
        <v>0.65486111111111112</v>
      </c>
      <c r="F43" s="6">
        <v>0.71319444444444446</v>
      </c>
      <c r="G43" s="7">
        <v>0.98263888888888884</v>
      </c>
      <c r="I43" s="9">
        <f t="shared" si="0"/>
        <v>0.66874999999999996</v>
      </c>
      <c r="J43" s="9">
        <f t="shared" si="1"/>
        <v>0.61041666666666661</v>
      </c>
      <c r="K43" s="8">
        <f t="shared" si="2"/>
        <v>5.8333333333333348E-2</v>
      </c>
    </row>
    <row r="44" spans="1:11" x14ac:dyDescent="0.25">
      <c r="A44" s="2">
        <v>40</v>
      </c>
      <c r="B44" s="21">
        <v>98</v>
      </c>
      <c r="C44" s="19" t="s">
        <v>22</v>
      </c>
      <c r="D44" s="6"/>
      <c r="E44" s="6"/>
      <c r="F44" s="6"/>
      <c r="G44" s="7"/>
      <c r="I44" s="9" t="str">
        <f t="shared" si="0"/>
        <v>-</v>
      </c>
      <c r="J44" s="9" t="str">
        <f t="shared" si="1"/>
        <v>-</v>
      </c>
      <c r="K44" s="8" t="e">
        <f t="shared" si="2"/>
        <v>#VALUE!</v>
      </c>
    </row>
    <row r="45" spans="1:11" x14ac:dyDescent="0.25">
      <c r="A45" s="2">
        <v>41</v>
      </c>
      <c r="B45" s="20">
        <v>99</v>
      </c>
      <c r="C45" s="5" t="s">
        <v>13</v>
      </c>
      <c r="D45" s="6">
        <v>0.31875000000000003</v>
      </c>
      <c r="E45" s="6">
        <v>0.48194444444444445</v>
      </c>
      <c r="F45" s="6">
        <v>0.54722222222222217</v>
      </c>
      <c r="G45" s="7">
        <v>0.87569444444444444</v>
      </c>
      <c r="I45" s="9">
        <f t="shared" si="0"/>
        <v>0.55694444444444446</v>
      </c>
      <c r="J45" s="9">
        <f t="shared" si="1"/>
        <v>0.4916666666666667</v>
      </c>
      <c r="K45" s="8">
        <f t="shared" si="2"/>
        <v>6.5277777777777768E-2</v>
      </c>
    </row>
    <row r="46" spans="1:11" x14ac:dyDescent="0.25">
      <c r="A46" s="2">
        <v>42</v>
      </c>
      <c r="B46" s="21">
        <v>115</v>
      </c>
      <c r="C46" s="17" t="s">
        <v>38</v>
      </c>
      <c r="D46" s="6">
        <v>0.5229166666666667</v>
      </c>
      <c r="E46" s="6">
        <v>0.73611111111111116</v>
      </c>
      <c r="F46" s="6">
        <v>0.7597222222222223</v>
      </c>
      <c r="G46" s="7">
        <v>0.88611111111111107</v>
      </c>
      <c r="I46" s="9">
        <f t="shared" si="0"/>
        <v>0.36319444444444438</v>
      </c>
      <c r="J46" s="9">
        <f t="shared" si="1"/>
        <v>0.33958333333333324</v>
      </c>
      <c r="K46" s="8">
        <f t="shared" si="2"/>
        <v>2.3611111111111138E-2</v>
      </c>
    </row>
    <row r="47" spans="1:11" x14ac:dyDescent="0.25">
      <c r="A47" s="2">
        <v>43</v>
      </c>
      <c r="B47" s="20">
        <v>117</v>
      </c>
      <c r="C47" s="17" t="s">
        <v>44</v>
      </c>
      <c r="D47" s="6">
        <v>0.56874999999999998</v>
      </c>
      <c r="E47" s="6"/>
      <c r="F47" s="6"/>
      <c r="G47" s="7">
        <v>0.92013888888888884</v>
      </c>
      <c r="I47" s="9">
        <f t="shared" si="0"/>
        <v>0.35138888888888886</v>
      </c>
      <c r="J47" s="9" t="str">
        <f t="shared" si="1"/>
        <v>-</v>
      </c>
      <c r="K47" s="8" t="e">
        <f t="shared" si="2"/>
        <v>#VALUE!</v>
      </c>
    </row>
    <row r="48" spans="1:11" x14ac:dyDescent="0.25">
      <c r="A48" s="2">
        <v>44</v>
      </c>
      <c r="B48" s="20">
        <v>119</v>
      </c>
      <c r="C48" s="19" t="s">
        <v>8</v>
      </c>
      <c r="D48" s="6">
        <v>0.31458333333333333</v>
      </c>
      <c r="E48" s="6"/>
      <c r="F48" s="6"/>
      <c r="G48" s="7">
        <v>0.87083333333333324</v>
      </c>
      <c r="I48" s="9">
        <f t="shared" si="0"/>
        <v>0.55624999999999991</v>
      </c>
      <c r="J48" s="9" t="str">
        <f t="shared" si="1"/>
        <v>-</v>
      </c>
      <c r="K48" s="8" t="e">
        <f t="shared" si="2"/>
        <v>#VALUE!</v>
      </c>
    </row>
    <row r="49" spans="1:11" x14ac:dyDescent="0.25">
      <c r="A49" s="2">
        <v>45</v>
      </c>
      <c r="B49" s="20">
        <v>124</v>
      </c>
      <c r="C49" s="5" t="s">
        <v>35</v>
      </c>
      <c r="D49" s="6">
        <v>0.31180555555555556</v>
      </c>
      <c r="E49" s="6"/>
      <c r="F49" s="6"/>
      <c r="G49" s="7">
        <v>0.81527777777777777</v>
      </c>
      <c r="I49" s="9">
        <f t="shared" si="0"/>
        <v>0.50347222222222221</v>
      </c>
      <c r="J49" s="9" t="str">
        <f t="shared" si="1"/>
        <v>-</v>
      </c>
      <c r="K49" s="8" t="e">
        <f t="shared" si="2"/>
        <v>#VALUE!</v>
      </c>
    </row>
    <row r="50" spans="1:11" x14ac:dyDescent="0.25">
      <c r="A50" s="2">
        <v>46</v>
      </c>
      <c r="B50" s="21">
        <v>134</v>
      </c>
      <c r="C50" s="17" t="s">
        <v>10</v>
      </c>
      <c r="D50" s="6">
        <v>0.54652777777777783</v>
      </c>
      <c r="E50" s="6"/>
      <c r="F50" s="6"/>
      <c r="G50" s="7">
        <v>0.83263888888888893</v>
      </c>
      <c r="I50" s="9">
        <f t="shared" si="0"/>
        <v>0.28611111111111109</v>
      </c>
      <c r="J50" s="9" t="str">
        <f t="shared" si="1"/>
        <v>-</v>
      </c>
      <c r="K50" s="8" t="e">
        <f t="shared" si="2"/>
        <v>#VALUE!</v>
      </c>
    </row>
    <row r="51" spans="1:11" x14ac:dyDescent="0.25">
      <c r="A51" s="2">
        <v>47</v>
      </c>
      <c r="B51" s="20">
        <v>140</v>
      </c>
      <c r="C51" s="19" t="s">
        <v>32</v>
      </c>
      <c r="D51" s="6">
        <v>0.31875000000000003</v>
      </c>
      <c r="E51" s="6"/>
      <c r="F51" s="6"/>
      <c r="G51" s="7">
        <v>0.6958333333333333</v>
      </c>
      <c r="I51" s="9">
        <f t="shared" si="0"/>
        <v>0.37708333333333327</v>
      </c>
      <c r="J51" s="9" t="str">
        <f t="shared" si="1"/>
        <v>-</v>
      </c>
      <c r="K51" s="8" t="e">
        <f t="shared" si="2"/>
        <v>#VALUE!</v>
      </c>
    </row>
    <row r="52" spans="1:11" x14ac:dyDescent="0.25">
      <c r="A52" s="2">
        <v>48</v>
      </c>
      <c r="B52" s="21">
        <v>143</v>
      </c>
      <c r="C52" s="19" t="s">
        <v>21</v>
      </c>
      <c r="D52" s="6">
        <v>0.31458333333333333</v>
      </c>
      <c r="E52" s="6">
        <v>0.55486111111111114</v>
      </c>
      <c r="F52" s="6">
        <v>0.63124999999999998</v>
      </c>
      <c r="G52" s="7">
        <v>0.87847222222222221</v>
      </c>
      <c r="I52" s="9">
        <f t="shared" si="0"/>
        <v>0.56388888888888888</v>
      </c>
      <c r="J52" s="9">
        <f t="shared" si="1"/>
        <v>0.48750000000000004</v>
      </c>
      <c r="K52" s="8">
        <f t="shared" si="2"/>
        <v>7.638888888888884E-2</v>
      </c>
    </row>
    <row r="53" spans="1:11" x14ac:dyDescent="0.25">
      <c r="A53" s="2">
        <v>49</v>
      </c>
      <c r="B53" s="21">
        <v>145</v>
      </c>
      <c r="C53" s="19" t="s">
        <v>48</v>
      </c>
      <c r="D53" s="6"/>
      <c r="E53" s="6"/>
      <c r="F53" s="6"/>
      <c r="G53" s="7"/>
      <c r="I53" s="9" t="str">
        <f t="shared" si="0"/>
        <v>-</v>
      </c>
      <c r="J53" s="9" t="str">
        <f t="shared" si="1"/>
        <v>-</v>
      </c>
      <c r="K53" s="8" t="e">
        <f t="shared" si="2"/>
        <v>#VALUE!</v>
      </c>
    </row>
    <row r="54" spans="1:11" x14ac:dyDescent="0.25">
      <c r="A54" s="2">
        <v>50</v>
      </c>
      <c r="B54" s="20">
        <v>150</v>
      </c>
      <c r="C54" s="5" t="s">
        <v>12</v>
      </c>
      <c r="D54" s="6">
        <v>0.31111111111111112</v>
      </c>
      <c r="E54" s="6">
        <v>0.59930555555555554</v>
      </c>
      <c r="F54" s="6">
        <v>0.67013888888888884</v>
      </c>
      <c r="G54" s="7">
        <v>0.87708333333333333</v>
      </c>
      <c r="I54" s="9">
        <f t="shared" si="0"/>
        <v>0.56597222222222221</v>
      </c>
      <c r="J54" s="9">
        <f t="shared" si="1"/>
        <v>0.49513888888888891</v>
      </c>
      <c r="K54" s="8">
        <f t="shared" si="2"/>
        <v>7.0833333333333304E-2</v>
      </c>
    </row>
    <row r="55" spans="1:11" x14ac:dyDescent="0.25">
      <c r="A55" s="2">
        <v>51</v>
      </c>
      <c r="B55" s="20">
        <v>154</v>
      </c>
      <c r="C55" s="19" t="s">
        <v>6</v>
      </c>
      <c r="D55" s="6"/>
      <c r="E55" s="6"/>
      <c r="F55" s="6"/>
      <c r="G55" s="7"/>
      <c r="I55" s="9" t="str">
        <f t="shared" si="0"/>
        <v>-</v>
      </c>
      <c r="J55" s="9" t="str">
        <f t="shared" si="1"/>
        <v>-</v>
      </c>
      <c r="K55" s="8" t="e">
        <f t="shared" si="2"/>
        <v>#VALUE!</v>
      </c>
    </row>
    <row r="56" spans="1:11" x14ac:dyDescent="0.25">
      <c r="A56" s="2">
        <v>52</v>
      </c>
      <c r="B56" s="21">
        <v>155</v>
      </c>
      <c r="C56" s="19" t="s">
        <v>62</v>
      </c>
      <c r="D56" s="6">
        <v>0.32083333333333336</v>
      </c>
      <c r="E56" s="6">
        <v>0.61249999999999993</v>
      </c>
      <c r="F56" s="6">
        <v>0.67638888888888893</v>
      </c>
      <c r="G56" s="7">
        <v>0.87847222222222221</v>
      </c>
      <c r="I56" s="9">
        <f t="shared" si="0"/>
        <v>0.5576388888888888</v>
      </c>
      <c r="J56" s="9">
        <f t="shared" si="1"/>
        <v>0.49374999999999986</v>
      </c>
      <c r="K56" s="8">
        <f t="shared" si="2"/>
        <v>6.3888888888888939E-2</v>
      </c>
    </row>
    <row r="57" spans="1:11" x14ac:dyDescent="0.25">
      <c r="A57" s="2">
        <v>53</v>
      </c>
      <c r="B57" s="21">
        <v>156</v>
      </c>
      <c r="C57" s="19" t="s">
        <v>67</v>
      </c>
      <c r="D57" s="6">
        <v>0.31319444444444444</v>
      </c>
      <c r="E57" s="6">
        <v>0.54166666666666663</v>
      </c>
      <c r="F57" s="6">
        <v>0.6069444444444444</v>
      </c>
      <c r="G57" s="7">
        <v>0.87361111111111101</v>
      </c>
      <c r="I57" s="9">
        <f t="shared" si="0"/>
        <v>0.56041666666666656</v>
      </c>
      <c r="J57" s="9">
        <f t="shared" si="1"/>
        <v>0.4951388888888888</v>
      </c>
      <c r="K57" s="8">
        <f t="shared" si="2"/>
        <v>6.5277777777777768E-2</v>
      </c>
    </row>
    <row r="58" spans="1:11" x14ac:dyDescent="0.25">
      <c r="A58" s="2">
        <v>54</v>
      </c>
      <c r="B58" s="21">
        <v>157</v>
      </c>
      <c r="C58" s="19" t="s">
        <v>28</v>
      </c>
      <c r="D58" s="6">
        <v>0.3125</v>
      </c>
      <c r="E58" s="6">
        <v>0.52847222222222223</v>
      </c>
      <c r="F58" s="6">
        <v>0.59236111111111112</v>
      </c>
      <c r="G58" s="7">
        <v>0.87847222222222221</v>
      </c>
      <c r="I58" s="9">
        <f t="shared" si="0"/>
        <v>0.56597222222222221</v>
      </c>
      <c r="J58" s="9">
        <f t="shared" si="1"/>
        <v>0.50208333333333333</v>
      </c>
      <c r="K58" s="8">
        <f t="shared" si="2"/>
        <v>6.3888888888888884E-2</v>
      </c>
    </row>
    <row r="59" spans="1:11" x14ac:dyDescent="0.25">
      <c r="A59" s="2">
        <v>55</v>
      </c>
      <c r="B59" s="20">
        <v>159</v>
      </c>
      <c r="C59" s="19" t="s">
        <v>26</v>
      </c>
      <c r="D59" s="6"/>
      <c r="E59" s="6"/>
      <c r="F59" s="6"/>
      <c r="G59" s="7"/>
      <c r="I59" s="9" t="str">
        <f t="shared" si="0"/>
        <v>-</v>
      </c>
      <c r="J59" s="9" t="str">
        <f t="shared" si="1"/>
        <v>-</v>
      </c>
      <c r="K59" s="8" t="e">
        <f t="shared" si="2"/>
        <v>#VALUE!</v>
      </c>
    </row>
    <row r="60" spans="1:11" x14ac:dyDescent="0.25">
      <c r="A60" s="2">
        <v>56</v>
      </c>
      <c r="B60" s="20">
        <v>160</v>
      </c>
      <c r="C60" s="17" t="s">
        <v>59</v>
      </c>
      <c r="D60" s="6"/>
      <c r="E60" s="6"/>
      <c r="F60" s="6"/>
      <c r="G60" s="7"/>
      <c r="I60" s="9" t="str">
        <f t="shared" si="0"/>
        <v>-</v>
      </c>
      <c r="J60" s="9" t="str">
        <f t="shared" si="1"/>
        <v>-</v>
      </c>
      <c r="K60" s="8" t="e">
        <f t="shared" si="2"/>
        <v>#VALUE!</v>
      </c>
    </row>
    <row r="61" spans="1:11" x14ac:dyDescent="0.25">
      <c r="A61" s="2">
        <v>57</v>
      </c>
      <c r="B61" s="21">
        <v>161</v>
      </c>
      <c r="C61" s="19" t="s">
        <v>61</v>
      </c>
      <c r="D61" s="6"/>
      <c r="E61" s="6"/>
      <c r="F61" s="6"/>
      <c r="G61" s="7"/>
      <c r="I61" s="9" t="str">
        <f t="shared" si="0"/>
        <v>-</v>
      </c>
      <c r="J61" s="9" t="str">
        <f t="shared" si="1"/>
        <v>-</v>
      </c>
      <c r="K61" s="8" t="e">
        <f t="shared" si="2"/>
        <v>#VALUE!</v>
      </c>
    </row>
    <row r="62" spans="1:11" x14ac:dyDescent="0.25">
      <c r="A62" s="2">
        <v>58</v>
      </c>
      <c r="B62" s="20">
        <v>165</v>
      </c>
      <c r="C62" s="17" t="s">
        <v>56</v>
      </c>
      <c r="D62" s="6"/>
      <c r="E62" s="6"/>
      <c r="F62" s="6"/>
      <c r="G62" s="7"/>
      <c r="I62" s="9" t="str">
        <f t="shared" si="0"/>
        <v>-</v>
      </c>
      <c r="J62" s="9" t="str">
        <f t="shared" si="1"/>
        <v>-</v>
      </c>
      <c r="K62" s="8" t="e">
        <f t="shared" si="2"/>
        <v>#VALUE!</v>
      </c>
    </row>
    <row r="63" spans="1:11" x14ac:dyDescent="0.25">
      <c r="A63" s="2">
        <v>59</v>
      </c>
      <c r="B63" s="20">
        <v>169</v>
      </c>
      <c r="C63" s="19" t="s">
        <v>53</v>
      </c>
      <c r="D63" s="6">
        <v>0.31805555555555554</v>
      </c>
      <c r="E63" s="6">
        <v>0.46111111111111108</v>
      </c>
      <c r="F63" s="6">
        <v>0.62638888888888888</v>
      </c>
      <c r="G63" s="7">
        <v>0.87291666666666667</v>
      </c>
      <c r="I63" s="9">
        <f t="shared" ref="I63:I64" si="3">IF(AND(D63 &lt;&gt; "", G63 &lt;&gt; ""), G63 - D63, "-")</f>
        <v>0.55486111111111114</v>
      </c>
      <c r="J63" s="9">
        <f t="shared" ref="J63:J64" si="4">IF(AND(D63 &lt;&gt; "", E63 &lt;&gt; "", F63 &lt;&gt; "", G63 &lt;&gt; ""), (E63 - D63)  + (G63 - F63), "-")</f>
        <v>0.38958333333333334</v>
      </c>
      <c r="K63" s="8">
        <f t="shared" ref="K63:K64" si="5">SUM(I63-J63)</f>
        <v>0.1652777777777778</v>
      </c>
    </row>
    <row r="64" spans="1:11" x14ac:dyDescent="0.25">
      <c r="A64" s="2">
        <v>60</v>
      </c>
      <c r="B64" s="20">
        <v>175</v>
      </c>
      <c r="C64" s="17" t="s">
        <v>60</v>
      </c>
      <c r="D64" s="6">
        <v>0.31111111111111112</v>
      </c>
      <c r="E64" s="6"/>
      <c r="F64" s="6"/>
      <c r="G64" s="6">
        <v>0.69097222222222221</v>
      </c>
      <c r="I64" s="9">
        <f t="shared" si="3"/>
        <v>0.37986111111111109</v>
      </c>
      <c r="J64" s="9" t="str">
        <f t="shared" si="4"/>
        <v>-</v>
      </c>
      <c r="K64" s="8" t="e">
        <f t="shared" si="5"/>
        <v>#VALUE!</v>
      </c>
    </row>
    <row r="65" spans="1:11" x14ac:dyDescent="0.25">
      <c r="A65" s="2">
        <v>61</v>
      </c>
      <c r="B65" s="20">
        <v>176</v>
      </c>
      <c r="C65" s="19" t="s">
        <v>66</v>
      </c>
      <c r="D65" s="6">
        <v>0.3125</v>
      </c>
      <c r="E65" s="6">
        <v>0.52500000000000002</v>
      </c>
      <c r="F65" s="6">
        <v>0.58888888888888891</v>
      </c>
      <c r="G65" s="6">
        <v>0.87013888888888891</v>
      </c>
      <c r="I65" s="9">
        <f t="shared" ref="I65:I72" si="6">IF(AND(D65 &lt;&gt; "", G65 &lt;&gt; ""), G65 - D65, "-")</f>
        <v>0.55763888888888891</v>
      </c>
      <c r="J65" s="9">
        <f t="shared" ref="J65:J72" si="7">IF(AND(D65 &lt;&gt; "", E65 &lt;&gt; "", F65 &lt;&gt; "", G65 &lt;&gt; ""), (E65 - D65)  + (G65 - F65), "-")</f>
        <v>0.49375000000000002</v>
      </c>
      <c r="K65" s="8">
        <f t="shared" ref="K65:K72" si="8">SUM(I65-J65)</f>
        <v>6.3888888888888884E-2</v>
      </c>
    </row>
    <row r="66" spans="1:11" x14ac:dyDescent="0.25">
      <c r="A66" s="2">
        <v>62</v>
      </c>
      <c r="B66" s="20">
        <v>177</v>
      </c>
      <c r="C66" s="17" t="s">
        <v>68</v>
      </c>
      <c r="D66" s="6">
        <v>0.31875000000000003</v>
      </c>
      <c r="E66" s="1"/>
      <c r="F66" s="1"/>
      <c r="G66" s="6">
        <v>0.66388888888888886</v>
      </c>
      <c r="I66" s="9">
        <f t="shared" si="6"/>
        <v>0.34513888888888883</v>
      </c>
      <c r="J66" s="9" t="str">
        <f t="shared" si="7"/>
        <v>-</v>
      </c>
      <c r="K66" s="8" t="e">
        <f t="shared" si="8"/>
        <v>#VALUE!</v>
      </c>
    </row>
    <row r="67" spans="1:11" x14ac:dyDescent="0.25">
      <c r="A67" s="2">
        <v>63</v>
      </c>
      <c r="B67" s="20">
        <v>178</v>
      </c>
      <c r="C67" s="17" t="s">
        <v>70</v>
      </c>
      <c r="D67" s="6"/>
      <c r="E67" s="6"/>
      <c r="F67" s="6"/>
      <c r="G67" s="6"/>
      <c r="I67" s="9" t="str">
        <f t="shared" si="6"/>
        <v>-</v>
      </c>
      <c r="J67" s="9" t="str">
        <f t="shared" si="7"/>
        <v>-</v>
      </c>
      <c r="K67" s="8" t="e">
        <f t="shared" si="8"/>
        <v>#VALUE!</v>
      </c>
    </row>
    <row r="68" spans="1:11" x14ac:dyDescent="0.25">
      <c r="A68" s="2">
        <v>64</v>
      </c>
      <c r="B68" s="20">
        <v>179</v>
      </c>
      <c r="C68" s="17" t="s">
        <v>63</v>
      </c>
      <c r="D68" s="6"/>
      <c r="E68" s="1"/>
      <c r="F68" s="1"/>
      <c r="G68" s="6"/>
      <c r="I68" s="9" t="str">
        <f t="shared" si="6"/>
        <v>-</v>
      </c>
      <c r="J68" s="9" t="str">
        <f t="shared" si="7"/>
        <v>-</v>
      </c>
      <c r="K68" s="8" t="e">
        <f t="shared" si="8"/>
        <v>#VALUE!</v>
      </c>
    </row>
    <row r="69" spans="1:11" x14ac:dyDescent="0.25">
      <c r="A69" s="2">
        <v>65</v>
      </c>
      <c r="B69" s="20">
        <v>180</v>
      </c>
      <c r="C69" s="17" t="s">
        <v>72</v>
      </c>
      <c r="D69" s="6">
        <v>0.31527777777777777</v>
      </c>
      <c r="E69" s="6">
        <v>0.55763888888888891</v>
      </c>
      <c r="F69" s="6">
        <v>0.57777777777777783</v>
      </c>
      <c r="G69" s="6">
        <v>0.6694444444444444</v>
      </c>
      <c r="I69" s="9">
        <f t="shared" si="6"/>
        <v>0.35416666666666663</v>
      </c>
      <c r="J69" s="9">
        <f t="shared" si="7"/>
        <v>0.3340277777777777</v>
      </c>
      <c r="K69" s="8">
        <f t="shared" si="8"/>
        <v>2.0138888888888928E-2</v>
      </c>
    </row>
    <row r="70" spans="1:11" x14ac:dyDescent="0.25">
      <c r="A70" s="2">
        <v>66</v>
      </c>
      <c r="B70" s="20">
        <v>181</v>
      </c>
      <c r="C70" s="17" t="s">
        <v>71</v>
      </c>
      <c r="D70" s="6">
        <v>0.5541666666666667</v>
      </c>
      <c r="E70" s="6"/>
      <c r="F70" s="6"/>
      <c r="G70" s="6">
        <v>0.92152777777777783</v>
      </c>
      <c r="I70" s="9">
        <f t="shared" si="6"/>
        <v>0.36736111111111114</v>
      </c>
      <c r="J70" s="9" t="str">
        <f t="shared" si="7"/>
        <v>-</v>
      </c>
      <c r="K70" s="8" t="e">
        <f t="shared" si="8"/>
        <v>#VALUE!</v>
      </c>
    </row>
    <row r="71" spans="1:11" x14ac:dyDescent="0.25">
      <c r="A71" s="2">
        <v>67</v>
      </c>
      <c r="B71" s="20">
        <v>182</v>
      </c>
      <c r="C71" s="17" t="s">
        <v>73</v>
      </c>
      <c r="D71" s="6">
        <v>0.52013888888888882</v>
      </c>
      <c r="E71" s="6">
        <v>0.69097222222222221</v>
      </c>
      <c r="F71" s="6">
        <v>0.7090277777777777</v>
      </c>
      <c r="G71" s="6">
        <v>0.88055555555555554</v>
      </c>
      <c r="I71" s="9">
        <f t="shared" si="6"/>
        <v>0.36041666666666672</v>
      </c>
      <c r="J71" s="9">
        <f t="shared" si="7"/>
        <v>0.34236111111111123</v>
      </c>
      <c r="K71" s="8">
        <f t="shared" si="8"/>
        <v>1.8055555555555491E-2</v>
      </c>
    </row>
    <row r="72" spans="1:11" x14ac:dyDescent="0.25">
      <c r="A72" s="2">
        <v>68</v>
      </c>
      <c r="B72" s="23">
        <v>183</v>
      </c>
      <c r="C72" s="24" t="s">
        <v>74</v>
      </c>
      <c r="D72" s="35">
        <v>0.31527777777777777</v>
      </c>
      <c r="E72" s="35">
        <v>0.63888888888888895</v>
      </c>
      <c r="F72" s="35">
        <v>0.66041666666666665</v>
      </c>
      <c r="G72" s="35">
        <v>0.6791666666666667</v>
      </c>
      <c r="I72" s="9">
        <f t="shared" si="6"/>
        <v>0.36388888888888893</v>
      </c>
      <c r="J72" s="9">
        <f t="shared" si="7"/>
        <v>0.34236111111111123</v>
      </c>
      <c r="K72" s="8">
        <f t="shared" si="8"/>
        <v>2.1527777777777701E-2</v>
      </c>
    </row>
    <row r="73" spans="1:11" x14ac:dyDescent="0.25">
      <c r="A73" s="2">
        <v>69</v>
      </c>
      <c r="B73" s="21">
        <v>185</v>
      </c>
      <c r="C73" s="32" t="s">
        <v>75</v>
      </c>
      <c r="D73" s="6">
        <v>0.31388888888888888</v>
      </c>
      <c r="E73" s="6">
        <v>0.65347222222222223</v>
      </c>
      <c r="F73" s="6">
        <v>0.71319444444444446</v>
      </c>
      <c r="G73" s="1"/>
      <c r="I73" s="9" t="str">
        <f t="shared" ref="I73:I78" si="9">IF(AND(D73 &lt;&gt; "", G73 &lt;&gt; ""), G73 - D73, "-")</f>
        <v>-</v>
      </c>
      <c r="J73" s="9" t="str">
        <f t="shared" ref="J73:J78" si="10">IF(AND(D73 &lt;&gt; "", E73 &lt;&gt; "", F73 &lt;&gt; "", G73 &lt;&gt; ""), (E73 - D73)  + (G73 - F73), "-")</f>
        <v>-</v>
      </c>
      <c r="K73" s="8" t="e">
        <f t="shared" ref="K73:K78" si="11">SUM(I73-J73)</f>
        <v>#VALUE!</v>
      </c>
    </row>
    <row r="74" spans="1:11" x14ac:dyDescent="0.25">
      <c r="A74" s="2">
        <v>70</v>
      </c>
      <c r="B74" s="21">
        <v>187</v>
      </c>
      <c r="C74" s="17" t="s">
        <v>76</v>
      </c>
      <c r="D74" s="6"/>
      <c r="E74" s="6"/>
      <c r="F74" s="6"/>
      <c r="G74" s="6"/>
      <c r="I74" s="9" t="str">
        <f t="shared" si="9"/>
        <v>-</v>
      </c>
      <c r="J74" s="9" t="str">
        <f t="shared" si="10"/>
        <v>-</v>
      </c>
      <c r="K74" s="8" t="e">
        <f t="shared" si="11"/>
        <v>#VALUE!</v>
      </c>
    </row>
    <row r="75" spans="1:11" x14ac:dyDescent="0.25">
      <c r="A75" s="2">
        <v>71</v>
      </c>
      <c r="B75" s="21">
        <v>188</v>
      </c>
      <c r="C75" s="17" t="s">
        <v>79</v>
      </c>
      <c r="D75" s="1"/>
      <c r="E75" s="1"/>
      <c r="F75" s="1"/>
      <c r="G75" s="1"/>
      <c r="I75" s="9" t="str">
        <f t="shared" si="9"/>
        <v>-</v>
      </c>
      <c r="J75" s="9" t="str">
        <f t="shared" si="10"/>
        <v>-</v>
      </c>
      <c r="K75" s="8" t="e">
        <f t="shared" si="11"/>
        <v>#VALUE!</v>
      </c>
    </row>
    <row r="76" spans="1:11" x14ac:dyDescent="0.25">
      <c r="A76" s="2">
        <v>72</v>
      </c>
      <c r="B76" s="21">
        <v>189</v>
      </c>
      <c r="C76" s="17" t="s">
        <v>80</v>
      </c>
      <c r="D76" s="1"/>
      <c r="E76" s="1"/>
      <c r="F76" s="1"/>
      <c r="G76" s="1"/>
      <c r="I76" s="9" t="str">
        <f t="shared" si="9"/>
        <v>-</v>
      </c>
      <c r="J76" s="9" t="str">
        <f t="shared" si="10"/>
        <v>-</v>
      </c>
      <c r="K76" s="8" t="e">
        <f t="shared" si="11"/>
        <v>#VALUE!</v>
      </c>
    </row>
    <row r="77" spans="1:11" x14ac:dyDescent="0.25">
      <c r="A77" s="2">
        <v>73</v>
      </c>
      <c r="B77" s="21">
        <v>190</v>
      </c>
      <c r="C77" s="32" t="s">
        <v>81</v>
      </c>
      <c r="D77" s="6">
        <v>0.31597222222222221</v>
      </c>
      <c r="E77" s="6">
        <v>0.56388888888888888</v>
      </c>
      <c r="F77" s="6">
        <v>0.62916666666666665</v>
      </c>
      <c r="G77" s="6">
        <v>0.87361111111111101</v>
      </c>
      <c r="I77" s="9">
        <f t="shared" si="9"/>
        <v>0.5576388888888888</v>
      </c>
      <c r="J77" s="9">
        <f t="shared" si="10"/>
        <v>0.49236111111111103</v>
      </c>
      <c r="K77" s="8">
        <f t="shared" si="11"/>
        <v>6.5277777777777768E-2</v>
      </c>
    </row>
    <row r="78" spans="1:11" x14ac:dyDescent="0.25">
      <c r="A78" s="2">
        <v>74</v>
      </c>
      <c r="B78" s="21">
        <v>191</v>
      </c>
      <c r="C78" s="17" t="s">
        <v>82</v>
      </c>
      <c r="D78" s="1"/>
      <c r="E78" s="1"/>
      <c r="F78" s="1"/>
      <c r="G78" s="1"/>
      <c r="I78" s="9" t="str">
        <f t="shared" si="9"/>
        <v>-</v>
      </c>
      <c r="J78" s="9" t="str">
        <f t="shared" si="10"/>
        <v>-</v>
      </c>
      <c r="K78" s="8" t="e">
        <f t="shared" si="11"/>
        <v>#VALUE!</v>
      </c>
    </row>
    <row r="79" spans="1:11" x14ac:dyDescent="0.25">
      <c r="A79" s="1"/>
      <c r="B79" s="20">
        <v>192</v>
      </c>
      <c r="C79" s="17" t="s">
        <v>83</v>
      </c>
      <c r="D79" s="1"/>
      <c r="E79" s="1"/>
      <c r="F79" s="1"/>
      <c r="G79" s="1"/>
      <c r="I79" s="9" t="str">
        <f t="shared" ref="I79" si="12">IF(AND(D79 &lt;&gt; "", G79 &lt;&gt; ""), G79 - D79, "-")</f>
        <v>-</v>
      </c>
      <c r="J79" s="9" t="str">
        <f t="shared" ref="J79" si="13">IF(AND(D79 &lt;&gt; "", E79 &lt;&gt; "", F79 &lt;&gt; "", G79 &lt;&gt; ""), (E79 - D79)  + (G79 - F79), "-")</f>
        <v>-</v>
      </c>
      <c r="K79" s="8" t="e">
        <f t="shared" ref="K79" si="14">SUM(I79-J79)</f>
        <v>#VALUE!</v>
      </c>
    </row>
  </sheetData>
  <mergeCells count="2">
    <mergeCell ref="C2:G2"/>
    <mergeCell ref="E3:F3"/>
  </mergeCells>
  <conditionalFormatting sqref="A5:A78 I61:J79 D54:J55 H56:J56 D57:J58 H10:J10 D11:J12">
    <cfRule type="expression" dxfId="13" priority="84">
      <formula>$I5 &lt; TIME(12,0,0)</formula>
    </cfRule>
  </conditionalFormatting>
  <conditionalFormatting sqref="A5:A78 I61:J79">
    <cfRule type="cellIs" dxfId="12" priority="83" operator="between">
      <formula>0.291666666666667</formula>
      <formula>0.315972222222222</formula>
    </cfRule>
  </conditionalFormatting>
  <conditionalFormatting sqref="C5:C19 C27:C28">
    <cfRule type="expression" priority="20" stopIfTrue="1">
      <formula>COUNTIF($E$1:$E$91,C5)&gt;1</formula>
    </cfRule>
    <cfRule type="expression" priority="21" stopIfTrue="1">
      <formula>COUNTIF($E$1:$E$95,C5)&gt;1</formula>
    </cfRule>
  </conditionalFormatting>
  <conditionalFormatting sqref="C20:C26 C29:C30 C33 C35:C72">
    <cfRule type="expression" priority="93" stopIfTrue="1">
      <formula>COUNTIF($D$1:$D$82,C20)&gt;1</formula>
    </cfRule>
    <cfRule type="expression" priority="94" stopIfTrue="1">
      <formula>COUNTIF($D$1:$D$86,C20)&gt;1</formula>
    </cfRule>
  </conditionalFormatting>
  <conditionalFormatting sqref="C31:C32 C34">
    <cfRule type="expression" priority="103" stopIfTrue="1">
      <formula>COUNTIF($E$1:$E$90,C31)&gt;1</formula>
    </cfRule>
    <cfRule type="expression" priority="104" stopIfTrue="1">
      <formula>COUNTIF($E$1:$E$94,C31)&gt;1</formula>
    </cfRule>
  </conditionalFormatting>
  <conditionalFormatting sqref="C73:C79">
    <cfRule type="expression" priority="22" stopIfTrue="1">
      <formula>COUNTIF($D$7:$D$89,C73)&gt;1</formula>
    </cfRule>
    <cfRule type="expression" priority="23" stopIfTrue="1">
      <formula>COUNTIF($D$7:$D$93,C73)&gt;1</formula>
    </cfRule>
  </conditionalFormatting>
  <conditionalFormatting sqref="D10:G10">
    <cfRule type="cellIs" dxfId="11" priority="12" operator="between">
      <formula>0.333333333333333</formula>
      <formula>0.375</formula>
    </cfRule>
  </conditionalFormatting>
  <conditionalFormatting sqref="D56:G56">
    <cfRule type="cellIs" dxfId="10" priority="49" operator="between">
      <formula>0.875694444444444</formula>
      <formula>0.999305555555556</formula>
    </cfRule>
    <cfRule type="cellIs" dxfId="9" priority="51" operator="between">
      <formula>0.333333333333333</formula>
      <formula>0.375</formula>
    </cfRule>
  </conditionalFormatting>
  <conditionalFormatting sqref="D5:J9">
    <cfRule type="expression" dxfId="8" priority="15">
      <formula>$I5 &lt; TIME(12,0,0)</formula>
    </cfRule>
  </conditionalFormatting>
  <conditionalFormatting sqref="D5:J12">
    <cfRule type="cellIs" dxfId="7" priority="13" operator="between">
      <formula>0.291666666666667</formula>
      <formula>0.315972222222222</formula>
    </cfRule>
  </conditionalFormatting>
  <conditionalFormatting sqref="D13:J53">
    <cfRule type="cellIs" dxfId="6" priority="1" operator="between">
      <formula>0.291666666666667</formula>
      <formula>0.315972222222222</formula>
    </cfRule>
    <cfRule type="expression" dxfId="5" priority="2">
      <formula>$I13 &lt; TIME(12,0,0)</formula>
    </cfRule>
  </conditionalFormatting>
  <conditionalFormatting sqref="D54:J58">
    <cfRule type="cellIs" dxfId="4" priority="50" operator="between">
      <formula>0.291666666666667</formula>
      <formula>0.315972222222222</formula>
    </cfRule>
  </conditionalFormatting>
  <conditionalFormatting sqref="D59:J60">
    <cfRule type="cellIs" dxfId="3" priority="30" operator="between">
      <formula>0.291666666666667</formula>
      <formula>0.315972222222222</formula>
    </cfRule>
    <cfRule type="expression" dxfId="2" priority="31">
      <formula>$I59 &lt; TIME(12,0,0)</formula>
    </cfRule>
  </conditionalFormatting>
  <conditionalFormatting sqref="G10">
    <cfRule type="cellIs" dxfId="1" priority="11" operator="between">
      <formula>0.875694444444444</formula>
      <formula>0.978472222222222</formula>
    </cfRule>
  </conditionalFormatting>
  <conditionalFormatting sqref="G56">
    <cfRule type="cellIs" dxfId="0" priority="48" operator="between">
      <formula>0.875694444444444</formula>
      <formula>0.978472222222222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8194-6820-4C65-8F14-4E510D0569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31.08</vt:lpstr>
      <vt:lpstr>30.08</vt:lpstr>
      <vt:lpstr>29.08</vt:lpstr>
      <vt:lpstr>28.08</vt:lpstr>
      <vt:lpstr>27.08</vt:lpstr>
      <vt:lpstr>26.08</vt:lpstr>
      <vt:lpstr>25.08</vt:lpstr>
      <vt:lpstr>24.08</vt:lpstr>
      <vt:lpstr>23.08</vt:lpstr>
      <vt:lpstr>22.08</vt:lpstr>
      <vt:lpstr>21.08</vt:lpstr>
      <vt:lpstr>20.08</vt:lpstr>
      <vt:lpstr>19.08</vt:lpstr>
      <vt:lpstr>18.8</vt:lpstr>
      <vt:lpstr>17.08</vt:lpstr>
      <vt:lpstr>16.08</vt:lpstr>
      <vt:lpstr>15.08</vt:lpstr>
      <vt:lpstr>14.08</vt:lpstr>
      <vt:lpstr>13.08</vt:lpstr>
      <vt:lpstr>12.08</vt:lpstr>
      <vt:lpstr>11.08</vt:lpstr>
      <vt:lpstr>10.08</vt:lpstr>
      <vt:lpstr>09.08</vt:lpstr>
      <vt:lpstr>08.08</vt:lpstr>
      <vt:lpstr>07.08</vt:lpstr>
      <vt:lpstr>06.08</vt:lpstr>
      <vt:lpstr>05.08</vt:lpstr>
      <vt:lpstr>04.08</vt:lpstr>
      <vt:lpstr>03.08</vt:lpstr>
      <vt:lpstr>02.08</vt:lpstr>
      <vt:lpstr>01.08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quockhanh</dc:creator>
  <cp:lastModifiedBy>k9vet</cp:lastModifiedBy>
  <dcterms:created xsi:type="dcterms:W3CDTF">2021-11-18T04:00:12Z</dcterms:created>
  <dcterms:modified xsi:type="dcterms:W3CDTF">2026-09-02T10:13:16Z</dcterms:modified>
</cp:coreProperties>
</file>